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b384162be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3f51acbf01994de0"/>
    <x:sheet xmlns:r="http://schemas.openxmlformats.org/officeDocument/2006/relationships" name="Proyek" sheetId="2" r:id="Ra59bca3dd9004ac4"/>
    <x:sheet xmlns:r="http://schemas.openxmlformats.org/officeDocument/2006/relationships" name="Pembayaran" sheetId="3" r:id="R861873c555524016"/>
    <x:sheet xmlns:r="http://schemas.openxmlformats.org/officeDocument/2006/relationships" name="Leads" sheetId="4" r:id="Ra60028590bb6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&quot;Rp&quot; #,##0"/>
    <x:numFmt numFmtId="202" formatCode="0.0"/>
  </x:numFmts>
  <x:fonts count="4">
    <x:font>
      <x:sz val="11"/>
      <x:name val="Carlito"/>
    </x:font>
    <x:font>
      <x:sz val="11"/>
      <x:color rgb="FF252A25"/>
      <x:name val="Arial"/>
    </x:font>
    <x:font>
      <x:b/>
      <x:sz val="16"/>
      <x:color rgb="FF252A2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F"/>
      </x:patternFill>
    </x:fill>
    <x:fill>
      <x:patternFill patternType="solid">
        <x:fgColor rgb="FF303B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A3128"/>
      </x:font>
      <x:fill>
        <x:patternFill patternType="solid">
          <x:bgColor rgb="FFFBE7E0"/>
        </x:patternFill>
      </x:fill>
    </x:dxf>
    <x:dxf>
      <x:font>
        <x:b/>
        <x:color rgb="FF9A3128"/>
      </x:font>
      <x:fill>
        <x:patternFill patternType="solid">
          <x:bgColor rgb="FFFBE7E0"/>
        </x:patternFill>
      </x:fill>
    </x:dxf>
    <x:dxf>
      <x:font>
        <x:b/>
        <x:color rgb="FF9A3128"/>
      </x:font>
      <x:fill>
        <x:patternFill patternType="solid">
          <x:bgColor rgb="FFFBE7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2bb983d3624fad" /><Relationship Type="http://schemas.openxmlformats.org/officeDocument/2006/relationships/theme" Target="/xl/theme/theme1.xml" Id="R24e1cd1d11644e79" /><Relationship Type="http://schemas.openxmlformats.org/officeDocument/2006/relationships/sharedStrings" Target="/xl/sharedStrings.xml" Id="R672de8ba013b4558" /><Relationship Type="http://schemas.openxmlformats.org/officeDocument/2006/relationships/worksheet" Target="/xl/worksheets/sheet1.xml" Id="R3f51acbf01994de0" /><Relationship Type="http://schemas.openxmlformats.org/officeDocument/2006/relationships/worksheet" Target="/xl/worksheets/sheet2.xml" Id="Ra59bca3dd9004ac4" /><Relationship Type="http://schemas.openxmlformats.org/officeDocument/2006/relationships/worksheet" Target="/xl/worksheets/sheet3.xml" Id="R861873c555524016" /><Relationship Type="http://schemas.openxmlformats.org/officeDocument/2006/relationships/worksheet" Target="/xl/worksheets/sheet4.xml" Id="Ra60028590bb6428d" /></Relationships>
</file>

<file path=xl/tables/table1.xml><?xml version="1.0" encoding="utf-8"?>
<x:table xmlns:x="http://schemas.openxmlformats.org/spreadsheetml/2006/main" id="1" name="Projects" displayName="Projects" ref="A8:M108" headerRowCount="1" totalsRowCount="0" totalsRowShown="0">
  <x:tableColumns count="13">
    <x:tableColumn id="1" name="ID proyek"/>
    <x:tableColumn id="2" name="Klien"/>
    <x:tableColumn id="3" name="Layanan"/>
    <x:tableColumn id="4" name="Nilai kontrak Rp"/>
    <x:tableColumn id="5" name="Tenggat pelunasan"/>
    <x:tableColumn id="6" name="Pengerjaan"/>
    <x:tableColumn id="7" name="Acceptance"/>
    <x:tableColumn id="8" name="Handover"/>
    <x:tableColumn id="9" name="Jam aktual"/>
    <x:tableColumn id="10" name="Kas diterima Rp"/>
    <x:tableColumn id="11" name="Sisa Rp"/>
    <x:tableColumn id="12" name="Perhatian"/>
    <x:tableColumn id="13" name="Penutupa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ayments" displayName="Payments" ref="A8:G108" headerRowCount="1" totalsRowCount="0" totalsRowShown="0">
  <x:tableColumns count="7">
    <x:tableColumn id="1" name="ID pembayaran"/>
    <x:tableColumn id="2" name="ID proyek"/>
    <x:tableColumn id="3" name="Tanggal masuk"/>
    <x:tableColumn id="4" name="Referensi invoice"/>
    <x:tableColumn id="5" name="Dana masuk Rp"/>
    <x:tableColumn id="6" name="Metode atau referensi"/>
    <x:tableColumn id="7" name="Perhatia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LeadsTable" displayName="LeadsTable" ref="A8:J108" headerRowCount="1" totalsRowCount="0" totalsRowShown="0">
  <x:tableColumns count="10">
    <x:tableColumn id="1" name="ID lead"/>
    <x:tableColumn id="2" name="Nama atau usaha"/>
    <x:tableColumn id="3" name="Kontak bisnis"/>
    <x:tableColumn id="4" name="Layanan"/>
    <x:tableColumn id="5" name="Tahap"/>
    <x:tableColumn id="6" name="Nilai peluang Rp"/>
    <x:tableColumn id="7" name="Tindakan berikutnya"/>
    <x:tableColumn id="8" name="Tanggal follow up"/>
    <x:tableColumn id="9" name="Catatan"/>
    <x:tableColumn id="10" name="Perhatia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aa2002b1884d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0762370a2348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8518e9dfc5401a" /></Relationships>
</file>

<file path=xl/worksheets/sheet1.xml><?xml version="1.0" encoding="utf-8"?>
<x:worksheet xmlns:x="http://schemas.openxmlformats.org/spreadsheetml/2006/main">
  <x:sheetPr>
    <x:tabColor rgb="FF49634D"/>
  </x:sheetPr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72" hidden="0" customWidth="1"/>
  </x:cols>
  <x:sheetData>
    <x:row r="1" ht="25" customHeight="1">
      <x:c r="A1" s="2"/>
      <x:c r="B1" s="2"/>
      <x:c r="C1" s="2"/>
    </x:row>
    <x:row r="2" ht="25" customHeight="1">
      <x:c r="A2" s="3" t="str">
        <x:v>Client and Project Tracker</x:v>
      </x:c>
      <x:c r="B2" s="2"/>
      <x:c r="C2" s="2"/>
    </x:row>
    <x:row r="3" ht="25" customHeight="1">
      <x:c r="A3" s="2" t="str">
        <x:v>Tanggal evaluasi</x:v>
      </x:c>
      <x:c r="B3" s="5" t="d">
        <x:v>2026-10-19T00:00:00.000Z</x:v>
      </x:c>
      <x:c r="C3" s="2" t="str">
        <x:v>Ubah tanggal ini saat melakukan review.</x:v>
      </x:c>
    </x:row>
    <x:row r="4" ht="25" customHeight="1">
      <x:c r="A4" s="2"/>
      <x:c r="B4" s="2"/>
      <x:c r="C4" s="2"/>
    </x:row>
    <x:row r="5" ht="25" customHeight="1">
      <x:c r="A5" s="2" t="str">
        <x:v>Nilai kontrak tercatat</x:v>
      </x:c>
      <x:c r="B5" s="6" t="n">
        <x:f>SUM(Proyek!D9:D108)</x:f>
        <x:v>3850000</x:v>
      </x:c>
      <x:c r="C5" s="2"/>
    </x:row>
    <x:row r="6" ht="25" customHeight="1">
      <x:c r="A6" s="2" t="str">
        <x:v>Kas masuk terverifikasi</x:v>
      </x:c>
      <x:c r="B6" s="6" t="n">
        <x:f>SUM(Pembayaran!E9:E108)</x:f>
        <x:v>1925000</x:v>
      </x:c>
      <x:c r="C6" s="2"/>
    </x:row>
    <x:row r="7" ht="25" customHeight="1">
      <x:c r="A7" s="2" t="str">
        <x:v>Sisa kontrak belum diterima</x:v>
      </x:c>
      <x:c r="B7" s="6" t="n">
        <x:f>SUM(Proyek!K9:K108)</x:f>
        <x:v>1925000</x:v>
      </x:c>
      <x:c r="C7" s="2"/>
    </x:row>
    <x:row r="8" ht="25" customHeight="1">
      <x:c r="A8" s="2" t="str">
        <x:v>Proyek dengan sisa lewat tenggat</x:v>
      </x:c>
      <x:c r="B8" s="2" t="n">
        <x:f>COUNTIF(Proyek!L9:L108,"Lewat tenggat")</x:f>
        <x:v>0</x:v>
      </x:c>
      <x:c r="C8" s="2"/>
    </x:row>
    <x:row r="9" ht="25" customHeight="1">
      <x:c r="A9" s="2" t="str">
        <x:v>Follow up leads jatuh tempo</x:v>
      </x:c>
      <x:c r="B9" s="2" t="n">
        <x:f>COUNTIF(Leads!J9:J108,"Tindak lanjut")</x:f>
        <x:v>1</x:v>
      </x:c>
      <x:c r="C9" s="2"/>
    </x:row>
    <x:row r="10" ht="25" customHeight="1">
      <x:c r="A10" s="2" t="str">
        <x:v>Proyek siap ditutup</x:v>
      </x:c>
      <x:c r="B10" s="2" t="n">
        <x:f>COUNTIF(Proyek!M9:M108,"Siap ditutup")</x:f>
        <x:v>0</x:v>
      </x:c>
      <x:c r="C10" s="2"/>
    </x:row>
    <x:row r="11" ht="40" customHeight="1">
      <x:c r="A11" s="2" t="str">
        <x:v>Baris pembayaran perlu diperiksa</x:v>
      </x:c>
      <x:c r="B11" s="2" t="n">
        <x:f>COUNTIF(Pembayaran!G9:G108,"Lengkapi input")+COUNTIF(Pembayaran!G9:G108,"ID duplikat")+COUNTIF(Pembayaran!G9:G108,"Periksa ID proyek")+COUNTIF(Pembayaran!G9:G108,"Isi ID pembayaran")</x:f>
        <x:v>0</x:v>
      </x:c>
      <x:c r="C11" s="7" t="str">
        <x:v>Jika bukan nol, ringkasan kas perlu direkonsiliasi sebelum dipakai.</x:v>
      </x:c>
    </x:row>
    <x:row r="12" ht="25" customHeight="1">
      <x:c r="A12" s="2"/>
      <x:c r="B12" s="2"/>
      <x:c r="C12" s="2"/>
    </x:row>
    <x:row r="13" ht="48" customHeight="1">
      <x:c r="A13" s="2" t="str">
        <x:v>SIMULASI TERPISAH DARI KLIEN NYATA</x:v>
      </x:c>
      <x:c r="B13" s="2"/>
      <x:c r="C13" s="7" t="str">
        <x:v>Baris DEMO adalah contoh fiktif. Hapus baris contoh sebelum mencatat transaksi nyata.</x:v>
      </x:c>
    </x:row>
    <x:row r="14" ht="48" customHeight="1">
      <x:c r="A14" s="2" t="str">
        <x:v>Proyek</x:v>
      </x:c>
      <x:c r="B14" s="2"/>
      <x:c r="C14" s="7" t="str">
        <x:v>Satu ID unik per proyek. Nilai kontrak bukan invoice dan belum menjadi kas.</x:v>
      </x:c>
    </x:row>
    <x:row r="15" ht="48" customHeight="1">
      <x:c r="A15" s="2" t="str">
        <x:v>Pembayaran</x:v>
      </x:c>
      <x:c r="B15" s="2"/>
      <x:c r="C15" s="7" t="str">
        <x:v>Catat dana yang benar-benar masuk; satu ID unik per transaksi. Bukan buku pajak.</x:v>
      </x:c>
    </x:row>
    <x:row r="16" ht="48" customHeight="1">
      <x:c r="A16" s="2" t="str">
        <x:v>Leads</x:v>
      </x:c>
      <x:c r="B16" s="2"/>
      <x:c r="C16" s="7" t="str">
        <x:v>Status dan tindak lanjut dicatat manual; indikator memakai tanggal evaluasi.</x:v>
      </x:c>
    </x:row>
    <x:row r="17" ht="48" customHeight="1">
      <x:c r="A17" s="2" t="str">
        <x:v>Kapasitas</x:v>
      </x:c>
      <x:c r="B17" s="2"/>
      <x:c r="C17" s="7" t="str">
        <x:v>100 baris per tabel, baris 9-108. Perluas tabel, formula, validasi dan ringkasan bersama.</x:v>
      </x:c>
    </x:row>
    <x:row r="18" ht="48" customHeight="1">
      <x:c r="A18" s="2" t="str">
        <x:v>Rekonsiliasi</x:v>
      </x:c>
      <x:c r="B18" s="2"/>
      <x:c r="C18" s="7" t="str">
        <x:v>Pajak dipotong, refund, biaya provider, dan pembatalan perlu penyesuaian manual terpisah.</x:v>
      </x:c>
    </x:row>
    <x:row r="19" ht="48" customHeight="1">
      <x:c r="A19" s="2" t="str">
        <x:v>Data dan akses</x:v>
      </x:c>
      <x:c r="B19" s="2"/>
      <x:c r="C19" s="7" t="str">
        <x:v>Simpan minimum data kontak bisnis. Jangan catat kredensial atau data sensitif.</x:v>
      </x:c>
    </x:row>
    <x:row r="20" ht="48" customHeight="1">
      <x:c r="A20" s="2" t="str">
        <x:v>Siap ditutup</x:v>
      </x:c>
      <x:c r="B20" s="2"/>
      <x:c r="C20" s="7" t="str">
        <x:v>Butuh status Selesai, acceptance Ya, handover Ya, tanpa sisa kas dan tanpa masalah ID.</x:v>
      </x:c>
    </x:row>
    <x:row r="21" ht="25" customHeight="1">
      <x:c r="A21" s="2"/>
      <x:c r="B21" s="2"/>
      <x:c r="C21" s="2"/>
    </x:row>
    <x:row r="22" ht="25" customHeight="1">
      <x:c r="A22" s="2"/>
      <x:c r="B22" s="2"/>
      <x:c r="C22" s="2"/>
    </x:row>
    <x:row r="23" ht="25" customHeight="1">
      <x:c r="A23" s="2"/>
      <x:c r="B23" s="2"/>
      <x:c r="C23" s="2"/>
    </x:row>
    <x:row r="24" ht="25" customHeight="1">
      <x:c r="A24" s="2"/>
      <x:c r="B24" s="2"/>
      <x:c r="C24" s="2"/>
    </x:row>
    <x:row r="25" ht="25" customHeight="1">
      <x:c r="A25" s="2"/>
      <x:c r="B25" s="2"/>
      <x:c r="C25" s="2"/>
    </x:row>
    <x:row r="26" ht="25" customHeight="1">
      <x:c r="A26" s="2"/>
      <x:c r="B26" s="2"/>
      <x:c r="C26" s="2"/>
    </x:row>
    <x:row r="27" ht="25" customHeight="1">
      <x:c r="A27" s="2"/>
      <x:c r="B27" s="2"/>
      <x:c r="C27" s="2"/>
    </x:row>
    <x:row r="28" ht="25" customHeight="1">
      <x:c r="A28" s="2"/>
      <x:c r="B28" s="2"/>
      <x:c r="C28" s="2"/>
    </x:row>
    <x:row r="29" ht="25" customHeight="1">
      <x:c r="A29" s="2"/>
      <x:c r="B29" s="2"/>
      <x:c r="C29" s="2"/>
    </x:row>
    <x:row r="30" ht="25" customHeight="1">
      <x:c r="A30" s="2"/>
      <x:c r="B30" s="2"/>
      <x:c r="C30" s="2"/>
    </x:row>
    <x:row r="31" ht="25" customHeight="1">
      <x:c r="A31" s="2"/>
      <x:c r="B31" s="2"/>
      <x:c r="C31" s="2"/>
    </x:row>
    <x:row r="32" ht="25" customHeight="1">
      <x:c r="A32" s="2"/>
      <x:c r="B32" s="2"/>
      <x:c r="C32" s="2"/>
    </x:row>
    <x:row r="33" ht="25" customHeight="1">
      <x:c r="A33" s="2"/>
      <x:c r="B33" s="2"/>
      <x:c r="C33" s="2"/>
    </x:row>
    <x:row r="34" ht="25" customHeight="1">
      <x:c r="A34" s="2"/>
      <x:c r="B34" s="2"/>
      <x:c r="C34" s="2"/>
    </x:row>
    <x:row r="35" ht="25" customHeight="1">
      <x:c r="A35" s="2"/>
      <x:c r="B35" s="2"/>
      <x:c r="C35" s="2"/>
    </x:row>
    <x:row r="36" ht="25" customHeight="1">
      <x:c r="A36" s="2"/>
      <x:c r="B36" s="2"/>
      <x:c r="C36" s="2"/>
    </x:row>
    <x:row r="37" ht="25" customHeight="1">
      <x:c r="A37" s="2"/>
      <x:c r="B37" s="2"/>
      <x:c r="C37" s="2"/>
    </x:row>
    <x:row r="38" ht="25" customHeight="1">
      <x:c r="A38" s="2"/>
      <x:c r="B38" s="2"/>
      <x:c r="C38" s="2"/>
    </x:row>
    <x:row r="39" ht="25" customHeight="1">
      <x:c r="A39" s="2"/>
      <x:c r="B39" s="2"/>
      <x:c r="C39" s="2"/>
    </x:row>
    <x:row r="40" ht="25" customHeight="1">
      <x:c r="A40" s="2"/>
      <x:c r="B40" s="2"/>
      <x:c r="C40" s="2"/>
    </x:row>
    <x:row r="41" ht="25" customHeight="1">
      <x:c r="A41" s="2"/>
      <x:c r="B41" s="2"/>
      <x:c r="C41" s="2"/>
    </x:row>
    <x:row r="42" ht="25" customHeight="1">
      <x:c r="A42" s="2"/>
      <x:c r="B42" s="2"/>
      <x:c r="C42" s="2"/>
    </x:row>
    <x:row r="43" ht="25" customHeight="1">
      <x:c r="A43" s="2"/>
      <x:c r="B43" s="2"/>
      <x:c r="C43" s="2"/>
    </x:row>
    <x:row r="44" ht="25" customHeight="1">
      <x:c r="A44" s="2"/>
      <x:c r="B44" s="2"/>
      <x:c r="C44" s="2"/>
    </x:row>
    <x:row r="45" ht="25" customHeight="1">
      <x:c r="A45" s="2"/>
      <x:c r="B45" s="2"/>
      <x:c r="C45" s="2"/>
    </x:row>
    <x:row r="46" ht="25" customHeight="1">
      <x:c r="A46" s="2"/>
      <x:c r="B46" s="2"/>
      <x:c r="C46" s="2"/>
    </x:row>
    <x:row r="47" ht="25" customHeight="1">
      <x:c r="A47" s="2"/>
      <x:c r="B47" s="2"/>
      <x:c r="C47" s="2"/>
    </x:row>
    <x:row r="48" ht="25" customHeight="1">
      <x:c r="A48" s="2"/>
      <x:c r="B48" s="2"/>
      <x:c r="C48" s="2"/>
    </x:row>
    <x:row r="49" ht="25" customHeight="1">
      <x:c r="A49" s="2"/>
      <x:c r="B49" s="2"/>
      <x:c r="C49" s="2"/>
    </x:row>
    <x:row r="50" ht="25" customHeight="1">
      <x:c r="A50" s="2"/>
      <x:c r="B50" s="2"/>
      <x:c r="C50" s="2"/>
    </x:row>
    <x:row r="51" ht="25" customHeight="1">
      <x:c r="A51" s="2"/>
      <x:c r="B51" s="2"/>
      <x:c r="C51" s="2"/>
    </x:row>
    <x:row r="52" ht="25" customHeight="1">
      <x:c r="A52" s="2"/>
      <x:c r="B52" s="2"/>
      <x:c r="C52" s="2"/>
    </x:row>
    <x:row r="53" ht="25" customHeight="1">
      <x:c r="A53" s="2"/>
      <x:c r="B53" s="2"/>
      <x:c r="C53" s="2"/>
    </x:row>
    <x:row r="54" ht="25" customHeight="1">
      <x:c r="A54" s="2"/>
      <x:c r="B54" s="2"/>
      <x:c r="C54" s="2"/>
    </x:row>
    <x:row r="55" ht="25" customHeight="1">
      <x:c r="A55" s="2"/>
      <x:c r="B55" s="2"/>
      <x:c r="C55" s="2"/>
    </x:row>
    <x:row r="56" ht="25" customHeight="1">
      <x:c r="A56" s="2"/>
      <x:c r="B56" s="2"/>
      <x:c r="C56" s="2"/>
    </x:row>
    <x:row r="57" ht="25" customHeight="1">
      <x:c r="A57" s="2"/>
      <x:c r="B57" s="2"/>
      <x:c r="C57" s="2"/>
    </x:row>
    <x:row r="58" ht="25" customHeight="1">
      <x:c r="A58" s="2"/>
      <x:c r="B58" s="2"/>
      <x:c r="C58" s="2"/>
    </x:row>
    <x:row r="59" ht="25" customHeight="1">
      <x:c r="A59" s="2"/>
      <x:c r="B59" s="2"/>
      <x:c r="C59" s="2"/>
    </x:row>
    <x:row r="60" ht="25" customHeight="1">
      <x:c r="A60" s="2"/>
      <x:c r="B60" s="2"/>
      <x:c r="C60" s="2"/>
    </x:row>
    <x:row r="61" ht="25" customHeight="1">
      <x:c r="A61" s="2"/>
      <x:c r="B61" s="2"/>
      <x:c r="C61" s="2"/>
    </x:row>
    <x:row r="62" ht="25" customHeight="1">
      <x:c r="A62" s="2"/>
      <x:c r="B62" s="2"/>
      <x:c r="C62" s="2"/>
    </x:row>
    <x:row r="63" ht="25" customHeight="1">
      <x:c r="A63" s="2"/>
      <x:c r="B63" s="2"/>
      <x:c r="C63" s="2"/>
    </x:row>
    <x:row r="64" ht="25" customHeight="1">
      <x:c r="A64" s="2"/>
      <x:c r="B64" s="2"/>
      <x:c r="C64" s="2"/>
    </x:row>
    <x:row r="65" ht="25" customHeight="1">
      <x:c r="A65" s="2"/>
      <x:c r="B65" s="2"/>
      <x:c r="C65" s="2"/>
    </x:row>
    <x:row r="66" ht="25" customHeight="1">
      <x:c r="A66" s="2"/>
      <x:c r="B66" s="2"/>
      <x:c r="C66" s="2"/>
    </x:row>
    <x:row r="67" ht="25" customHeight="1">
      <x:c r="A67" s="2"/>
      <x:c r="B67" s="2"/>
      <x:c r="C67" s="2"/>
    </x:row>
    <x:row r="68" ht="25" customHeight="1">
      <x:c r="A68" s="2"/>
      <x:c r="B68" s="2"/>
      <x:c r="C68" s="2"/>
    </x:row>
    <x:row r="69" ht="25" customHeight="1">
      <x:c r="A69" s="2"/>
      <x:c r="B69" s="2"/>
      <x:c r="C69" s="2"/>
    </x:row>
    <x:row r="70" ht="25" customHeight="1">
      <x:c r="A70" s="2"/>
      <x:c r="B70" s="2"/>
      <x:c r="C70" s="2"/>
    </x:row>
    <x:row r="71" ht="25" customHeight="1">
      <x:c r="A71" s="2"/>
      <x:c r="B71" s="2"/>
      <x:c r="C71" s="2"/>
    </x:row>
    <x:row r="72" ht="25" customHeight="1">
      <x:c r="A72" s="2"/>
      <x:c r="B72" s="2"/>
      <x:c r="C72" s="2"/>
    </x:row>
    <x:row r="73" ht="25" customHeight="1">
      <x:c r="A73" s="2"/>
      <x:c r="B73" s="2"/>
      <x:c r="C73" s="2"/>
    </x:row>
    <x:row r="74" ht="25" customHeight="1">
      <x:c r="A74" s="2"/>
      <x:c r="B74" s="2"/>
      <x:c r="C74" s="2"/>
    </x:row>
    <x:row r="75" ht="25" customHeight="1">
      <x:c r="A75" s="2"/>
      <x:c r="B75" s="2"/>
      <x:c r="C75" s="2"/>
    </x:row>
    <x:row r="76" ht="25" customHeight="1">
      <x:c r="A76" s="2"/>
      <x:c r="B76" s="2"/>
      <x:c r="C76" s="2"/>
    </x:row>
    <x:row r="77" ht="25" customHeight="1">
      <x:c r="A77" s="2"/>
      <x:c r="B77" s="2"/>
      <x:c r="C77" s="2"/>
    </x:row>
    <x:row r="78" ht="25" customHeight="1">
      <x:c r="A78" s="2"/>
      <x:c r="B78" s="2"/>
      <x:c r="C78" s="2"/>
    </x:row>
    <x:row r="79" ht="25" customHeight="1">
      <x:c r="A79" s="2"/>
      <x:c r="B79" s="2"/>
      <x:c r="C79" s="2"/>
    </x:row>
    <x:row r="80" ht="25" customHeight="1">
      <x:c r="A80" s="2"/>
      <x:c r="B80" s="2"/>
      <x:c r="C80" s="2"/>
    </x:row>
    <x:row r="81" ht="25" customHeight="1">
      <x:c r="A81" s="2"/>
      <x:c r="B81" s="2"/>
      <x:c r="C81" s="2"/>
    </x:row>
    <x:row r="82" ht="25" customHeight="1">
      <x:c r="A82" s="2"/>
      <x:c r="B82" s="2"/>
      <x:c r="C82" s="2"/>
    </x:row>
    <x:row r="83" ht="25" customHeight="1">
      <x:c r="A83" s="2"/>
      <x:c r="B83" s="2"/>
      <x:c r="C83" s="2"/>
    </x:row>
    <x:row r="84" ht="25" customHeight="1">
      <x:c r="A84" s="2"/>
      <x:c r="B84" s="2"/>
      <x:c r="C84" s="2"/>
    </x:row>
    <x:row r="85" ht="25" customHeight="1">
      <x:c r="A85" s="2"/>
      <x:c r="B85" s="2"/>
      <x:c r="C85" s="2"/>
    </x:row>
    <x:row r="86" ht="25" customHeight="1">
      <x:c r="A86" s="2"/>
      <x:c r="B86" s="2"/>
      <x:c r="C86" s="2"/>
    </x:row>
    <x:row r="87" ht="25" customHeight="1">
      <x:c r="A87" s="2"/>
      <x:c r="B87" s="2"/>
      <x:c r="C87" s="2"/>
    </x:row>
    <x:row r="88" ht="25" customHeight="1">
      <x:c r="A88" s="2"/>
      <x:c r="B88" s="2"/>
      <x:c r="C88" s="2"/>
    </x:row>
    <x:row r="89" ht="25" customHeight="1">
      <x:c r="A89" s="2"/>
      <x:c r="B89" s="2"/>
      <x:c r="C89" s="2"/>
    </x:row>
    <x:row r="90" ht="25" customHeight="1">
      <x:c r="A90" s="2"/>
      <x:c r="B90" s="2"/>
      <x:c r="C90" s="2"/>
    </x:row>
    <x:row r="91" ht="25" customHeight="1">
      <x:c r="A91" s="2"/>
      <x:c r="B91" s="2"/>
      <x:c r="C91" s="2"/>
    </x:row>
    <x:row r="92" ht="25" customHeight="1">
      <x:c r="A92" s="2"/>
      <x:c r="B92" s="2"/>
      <x:c r="C92" s="2"/>
    </x:row>
    <x:row r="93" ht="25" customHeight="1">
      <x:c r="A93" s="2"/>
      <x:c r="B93" s="2"/>
      <x:c r="C93" s="2"/>
    </x:row>
    <x:row r="94" ht="25" customHeight="1">
      <x:c r="A94" s="2"/>
      <x:c r="B94" s="2"/>
      <x:c r="C94" s="2"/>
    </x:row>
    <x:row r="95" ht="25" customHeight="1">
      <x:c r="A95" s="2"/>
      <x:c r="B95" s="2"/>
      <x:c r="C95" s="2"/>
    </x:row>
    <x:row r="96" ht="25" customHeight="1">
      <x:c r="A96" s="2"/>
      <x:c r="B96" s="2"/>
      <x:c r="C96" s="2"/>
    </x:row>
    <x:row r="97" ht="25" customHeight="1">
      <x:c r="A97" s="2"/>
      <x:c r="B97" s="2"/>
      <x:c r="C97" s="2"/>
    </x:row>
    <x:row r="98" ht="25" customHeight="1">
      <x:c r="A98" s="2"/>
      <x:c r="B98" s="2"/>
      <x:c r="C98" s="2"/>
    </x:row>
    <x:row r="99" ht="25" customHeight="1">
      <x:c r="A99" s="2"/>
      <x:c r="B99" s="2"/>
      <x:c r="C99" s="2"/>
    </x:row>
    <x:row r="100" ht="25" customHeight="1">
      <x:c r="A100" s="2"/>
      <x:c r="B100" s="2"/>
      <x:c r="C100" s="2"/>
    </x:row>
    <x:row r="101" ht="25" customHeight="1">
      <x:c r="A101" s="2"/>
      <x:c r="B101" s="2"/>
      <x:c r="C101" s="2"/>
    </x:row>
    <x:row r="102" ht="25" customHeight="1">
      <x:c r="A102" s="2"/>
      <x:c r="B102" s="2"/>
      <x:c r="C102" s="2"/>
    </x:row>
    <x:row r="103" ht="25" customHeight="1">
      <x:c r="A103" s="2"/>
      <x:c r="B103" s="2"/>
      <x:c r="C103" s="2"/>
    </x:row>
    <x:row r="104" ht="25" customHeight="1">
      <x:c r="A104" s="2"/>
      <x:c r="B104" s="2"/>
      <x:c r="C104" s="2"/>
    </x:row>
    <x:row r="105" ht="25" customHeight="1">
      <x:c r="A105" s="2"/>
      <x:c r="B105" s="2"/>
      <x:c r="C105" s="2"/>
    </x:row>
    <x:row r="106" ht="25" customHeight="1">
      <x:c r="A106" s="2"/>
      <x:c r="B106" s="2"/>
      <x:c r="C106" s="2"/>
    </x:row>
    <x:row r="107" ht="25" customHeight="1">
      <x:c r="A107" s="2"/>
      <x:c r="B107" s="2"/>
      <x:c r="C107" s="2"/>
    </x:row>
    <x:row r="108" ht="25" customHeight="1">
      <x:c r="A108" s="2"/>
      <x:c r="B108" s="2"/>
      <x:c r="C108" s="2"/>
    </x:row>
    <x:row r="109" ht="25" customHeight="1">
      <x:c r="A109" s="2"/>
      <x:c r="B109" s="2"/>
      <x:c r="C109" s="2"/>
    </x:row>
    <x:row r="110" ht="25" customHeight="1">
      <x:c r="A110" s="2"/>
      <x:c r="B110" s="2"/>
      <x:c r="C110" s="2"/>
    </x:row>
    <x:row r="111" ht="25" customHeight="1">
      <x:c r="A111" s="2"/>
      <x:c r="B111" s="2"/>
      <x:c r="C111" s="2"/>
    </x:row>
    <x:row r="112" ht="25" customHeight="1">
      <x:c r="A112" s="2"/>
      <x:c r="B112" s="2"/>
      <x:c r="C1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634D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1" hidden="0" customWidth="1"/>
    <x:col min="2" max="2" width="23" hidden="0" customWidth="1"/>
    <x:col min="3" max="3" width="26" hidden="0" customWidth="1"/>
    <x:col min="4" max="4" width="24" hidden="0" customWidth="1"/>
    <x:col min="5" max="5" width="24" hidden="0" customWidth="1"/>
    <x:col min="6" max="6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Proyek dan serah terima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Input kuning; kolom J-M otomatis. ID harus unik.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38" customHeight="1">
      <x:c r="A8" s="11" t="str">
        <x:v>ID proyek</x:v>
      </x:c>
      <x:c r="B8" s="11" t="str">
        <x:v>Klien</x:v>
      </x:c>
      <x:c r="C8" s="11" t="str">
        <x:v>Layanan</x:v>
      </x:c>
      <x:c r="D8" s="11" t="str">
        <x:v>Nilai kontrak Rp</x:v>
      </x:c>
      <x:c r="E8" s="11" t="str">
        <x:v>Tenggat pelunasan</x:v>
      </x:c>
      <x:c r="F8" s="11" t="str">
        <x:v>Pengerjaan</x:v>
      </x:c>
      <x:c r="G8" s="11" t="str">
        <x:v>Acceptance</x:v>
      </x:c>
      <x:c r="H8" s="11" t="str">
        <x:v>Handover</x:v>
      </x:c>
      <x:c r="I8" s="11" t="str">
        <x:v>Jam aktual</x:v>
      </x:c>
      <x:c r="J8" s="11" t="str">
        <x:v>Kas diterima Rp</x:v>
      </x:c>
      <x:c r="K8" s="11" t="str">
        <x:v>Sisa Rp</x:v>
      </x:c>
      <x:c r="L8" s="11" t="str">
        <x:v>Perhatian</x:v>
      </x:c>
      <x:c r="M8" s="11" t="str">
        <x:v>Penutupan</x:v>
      </x:c>
    </x:row>
    <x:row r="9" ht="25" customHeight="1">
      <x:c r="A9" s="12" t="str">
        <x:v>DEMO-001</x:v>
      </x:c>
      <x:c r="B9" s="12" t="str">
        <x:v>CONTOH Kedai Senja</x:v>
      </x:c>
      <x:c r="C9" s="12" t="str">
        <x:v>Landing page</x:v>
      </x:c>
      <x:c r="D9" s="13" t="n">
        <x:v>3850000</x:v>
      </x:c>
      <x:c r="E9" s="5" t="d">
        <x:v>2026-10-26T00:00:00.000Z</x:v>
      </x:c>
      <x:c r="F9" s="12" t="str">
        <x:v>Berjalan</x:v>
      </x:c>
      <x:c r="G9" s="12" t="str">
        <x:v>Tidak</x:v>
      </x:c>
      <x:c r="H9" s="12" t="str">
        <x:v>Tidak</x:v>
      </x:c>
      <x:c r="I9" s="14" t="n">
        <x:v>18</x:v>
      </x:c>
      <x:c r="J9" s="6" t="n">
        <x:f>IF(A9="","",SUMIF(Pembayaran!$B$9:$B$108,A9,Pembayaran!$E$9:$E$108))</x:f>
        <x:v>1925000</x:v>
      </x:c>
      <x:c r="K9" s="6" t="n">
        <x:f>IF(A9="","",IF(D9="","",D9-J9))</x:f>
        <x:v>1925000</x:v>
      </x:c>
      <x:c r="L9" s="2" t="str">
        <x:f>IF(A9="","",IF(COUNTIF($A$9:$A$108,A9)&gt;1,"ID duplikat",IF(OR(B9="",C9="",D9="",D9&lt;=0,E9="",F9="",G9="",H9=""),"Lengkapi input",IF(K9&lt;0,"Lebih bayar",IF(AND(K9&gt;0,E9&lt;Ringkasan!$B$3),"Lewat tenggat","")))))</x:f>
      </x:c>
      <x:c r="M9" s="2" t="str">
        <x:f>IF(A9="","",IF(L9="ID duplikat","Periksa ID",IF(F9="Dibatalkan","Rekonsiliasi",IF(AND(F9="Selesai",G9="Ya",H9="Ya",K9=0,L9="",(COUNTIFS(Pembayaran!$B$9:$B$108,A9,Pembayaran!$G$9:$G$108,"Lengkapi input")+COUNTIFS(Pembayaran!$B$9:$B$108,A9,Pembayaran!$G$9:$G$108,"ID duplikat")+COUNTIFS(Pembayaran!$B$9:$B$108,A9,Pembayaran!$G$9:$G$108,"Periksa ID proyek")+COUNTIFS(Pembayaran!$B$9:$B$108,A9,Pembayaran!$G$9:$G$108,"Isi ID pembayaran"))=0),"Siap ditutup","Masih terbuka"))))</x:f>
        <x:v>Masih terbuka</x:v>
      </x:c>
    </x:row>
    <x:row r="10" ht="25" customHeight="1">
      <x:c r="A10" s="12"/>
      <x:c r="B10" s="12"/>
      <x:c r="C10" s="12"/>
      <x:c r="D10" s="13"/>
      <x:c r="E10" s="5"/>
      <x:c r="F10" s="12"/>
      <x:c r="G10" s="12"/>
      <x:c r="H10" s="12"/>
      <x:c r="I10" s="14"/>
      <x:c r="J10" s="6" t="str">
        <x:f>IF(A10="","",SUMIF(Pembayaran!$B$9:$B$108,A10,Pembayaran!$E$9:$E$108))</x:f>
      </x:c>
      <x:c r="K10" s="6" t="str">
        <x:f>IF(A10="","",IF(D10="","",D10-J10))</x:f>
      </x:c>
      <x:c r="L10" s="2" t="str">
        <x:f>IF(A10="","",IF(COUNTIF($A$9:$A$108,A10)&gt;1,"ID duplikat",IF(OR(B10="",C10="",D10="",D10&lt;=0,E10="",F10="",G10="",H10=""),"Lengkapi input",IF(K10&lt;0,"Lebih bayar",IF(AND(K10&gt;0,E10&lt;Ringkasan!$B$3),"Lewat tenggat","")))))</x:f>
      </x:c>
      <x:c r="M10" s="2" t="str">
        <x:f>IF(A10="","",IF(L10="ID duplikat","Periksa ID",IF(F10="Dibatalkan","Rekonsiliasi",IF(AND(F10="Selesai",G10="Ya",H10="Ya",K10=0,L10="",(COUNTIFS(Pembayaran!$B$9:$B$108,A10,Pembayaran!$G$9:$G$108,"Lengkapi input")+COUNTIFS(Pembayaran!$B$9:$B$108,A10,Pembayaran!$G$9:$G$108,"ID duplikat")+COUNTIFS(Pembayaran!$B$9:$B$108,A10,Pembayaran!$G$9:$G$108,"Periksa ID proyek")+COUNTIFS(Pembayaran!$B$9:$B$108,A10,Pembayaran!$G$9:$G$108,"Isi ID pembayaran"))=0),"Siap ditutup","Masih terbuka"))))</x:f>
      </x:c>
    </x:row>
    <x:row r="11" ht="25" customHeight="1">
      <x:c r="A11" s="12"/>
      <x:c r="B11" s="12"/>
      <x:c r="C11" s="12"/>
      <x:c r="D11" s="13"/>
      <x:c r="E11" s="5"/>
      <x:c r="F11" s="12"/>
      <x:c r="G11" s="12"/>
      <x:c r="H11" s="12"/>
      <x:c r="I11" s="14"/>
      <x:c r="J11" s="6" t="str">
        <x:f>IF(A11="","",SUMIF(Pembayaran!$B$9:$B$108,A11,Pembayaran!$E$9:$E$108))</x:f>
      </x:c>
      <x:c r="K11" s="6" t="str">
        <x:f>IF(A11="","",IF(D11="","",D11-J11))</x:f>
      </x:c>
      <x:c r="L11" s="2" t="str">
        <x:f>IF(A11="","",IF(COUNTIF($A$9:$A$108,A11)&gt;1,"ID duplikat",IF(OR(B11="",C11="",D11="",D11&lt;=0,E11="",F11="",G11="",H11=""),"Lengkapi input",IF(K11&lt;0,"Lebih bayar",IF(AND(K11&gt;0,E11&lt;Ringkasan!$B$3),"Lewat tenggat","")))))</x:f>
      </x:c>
      <x:c r="M11" s="2" t="str">
        <x:f>IF(A11="","",IF(L11="ID duplikat","Periksa ID",IF(F11="Dibatalkan","Rekonsiliasi",IF(AND(F11="Selesai",G11="Ya",H11="Ya",K11=0,L11="",(COUNTIFS(Pembayaran!$B$9:$B$108,A11,Pembayaran!$G$9:$G$108,"Lengkapi input")+COUNTIFS(Pembayaran!$B$9:$B$108,A11,Pembayaran!$G$9:$G$108,"ID duplikat")+COUNTIFS(Pembayaran!$B$9:$B$108,A11,Pembayaran!$G$9:$G$108,"Periksa ID proyek")+COUNTIFS(Pembayaran!$B$9:$B$108,A11,Pembayaran!$G$9:$G$108,"Isi ID pembayaran"))=0),"Siap ditutup","Masih terbuka"))))</x:f>
      </x:c>
    </x:row>
    <x:row r="12" ht="25" customHeight="1">
      <x:c r="A12" s="12"/>
      <x:c r="B12" s="12"/>
      <x:c r="C12" s="12"/>
      <x:c r="D12" s="13"/>
      <x:c r="E12" s="5"/>
      <x:c r="F12" s="12"/>
      <x:c r="G12" s="12"/>
      <x:c r="H12" s="12"/>
      <x:c r="I12" s="14"/>
      <x:c r="J12" s="6" t="str">
        <x:f>IF(A12="","",SUMIF(Pembayaran!$B$9:$B$108,A12,Pembayaran!$E$9:$E$108))</x:f>
      </x:c>
      <x:c r="K12" s="6" t="str">
        <x:f>IF(A12="","",IF(D12="","",D12-J12))</x:f>
      </x:c>
      <x:c r="L12" s="2" t="str">
        <x:f>IF(A12="","",IF(COUNTIF($A$9:$A$108,A12)&gt;1,"ID duplikat",IF(OR(B12="",C12="",D12="",D12&lt;=0,E12="",F12="",G12="",H12=""),"Lengkapi input",IF(K12&lt;0,"Lebih bayar",IF(AND(K12&gt;0,E12&lt;Ringkasan!$B$3),"Lewat tenggat","")))))</x:f>
      </x:c>
      <x:c r="M12" s="2" t="str">
        <x:f>IF(A12="","",IF(L12="ID duplikat","Periksa ID",IF(F12="Dibatalkan","Rekonsiliasi",IF(AND(F12="Selesai",G12="Ya",H12="Ya",K12=0,L12="",(COUNTIFS(Pembayaran!$B$9:$B$108,A12,Pembayaran!$G$9:$G$108,"Lengkapi input")+COUNTIFS(Pembayaran!$B$9:$B$108,A12,Pembayaran!$G$9:$G$108,"ID duplikat")+COUNTIFS(Pembayaran!$B$9:$B$108,A12,Pembayaran!$G$9:$G$108,"Periksa ID proyek")+COUNTIFS(Pembayaran!$B$9:$B$108,A12,Pembayaran!$G$9:$G$108,"Isi ID pembayaran"))=0),"Siap ditutup","Masih terbuka"))))</x:f>
      </x:c>
    </x:row>
    <x:row r="13" ht="25" customHeight="1">
      <x:c r="A13" s="12"/>
      <x:c r="B13" s="12"/>
      <x:c r="C13" s="12"/>
      <x:c r="D13" s="13"/>
      <x:c r="E13" s="5"/>
      <x:c r="F13" s="12"/>
      <x:c r="G13" s="12"/>
      <x:c r="H13" s="12"/>
      <x:c r="I13" s="14"/>
      <x:c r="J13" s="6" t="str">
        <x:f>IF(A13="","",SUMIF(Pembayaran!$B$9:$B$108,A13,Pembayaran!$E$9:$E$108))</x:f>
      </x:c>
      <x:c r="K13" s="6" t="str">
        <x:f>IF(A13="","",IF(D13="","",D13-J13))</x:f>
      </x:c>
      <x:c r="L13" s="2" t="str">
        <x:f>IF(A13="","",IF(COUNTIF($A$9:$A$108,A13)&gt;1,"ID duplikat",IF(OR(B13="",C13="",D13="",D13&lt;=0,E13="",F13="",G13="",H13=""),"Lengkapi input",IF(K13&lt;0,"Lebih bayar",IF(AND(K13&gt;0,E13&lt;Ringkasan!$B$3),"Lewat tenggat","")))))</x:f>
      </x:c>
      <x:c r="M13" s="2" t="str">
        <x:f>IF(A13="","",IF(L13="ID duplikat","Periksa ID",IF(F13="Dibatalkan","Rekonsiliasi",IF(AND(F13="Selesai",G13="Ya",H13="Ya",K13=0,L13="",(COUNTIFS(Pembayaran!$B$9:$B$108,A13,Pembayaran!$G$9:$G$108,"Lengkapi input")+COUNTIFS(Pembayaran!$B$9:$B$108,A13,Pembayaran!$G$9:$G$108,"ID duplikat")+COUNTIFS(Pembayaran!$B$9:$B$108,A13,Pembayaran!$G$9:$G$108,"Periksa ID proyek")+COUNTIFS(Pembayaran!$B$9:$B$108,A13,Pembayaran!$G$9:$G$108,"Isi ID pembayaran"))=0),"Siap ditutup","Masih terbuka"))))</x:f>
      </x:c>
    </x:row>
    <x:row r="14" ht="25" customHeight="1">
      <x:c r="A14" s="12"/>
      <x:c r="B14" s="12"/>
      <x:c r="C14" s="12"/>
      <x:c r="D14" s="13"/>
      <x:c r="E14" s="5"/>
      <x:c r="F14" s="12"/>
      <x:c r="G14" s="12"/>
      <x:c r="H14" s="12"/>
      <x:c r="I14" s="14"/>
      <x:c r="J14" s="6" t="str">
        <x:f>IF(A14="","",SUMIF(Pembayaran!$B$9:$B$108,A14,Pembayaran!$E$9:$E$108))</x:f>
      </x:c>
      <x:c r="K14" s="6" t="str">
        <x:f>IF(A14="","",IF(D14="","",D14-J14))</x:f>
      </x:c>
      <x:c r="L14" s="2" t="str">
        <x:f>IF(A14="","",IF(COUNTIF($A$9:$A$108,A14)&gt;1,"ID duplikat",IF(OR(B14="",C14="",D14="",D14&lt;=0,E14="",F14="",G14="",H14=""),"Lengkapi input",IF(K14&lt;0,"Lebih bayar",IF(AND(K14&gt;0,E14&lt;Ringkasan!$B$3),"Lewat tenggat","")))))</x:f>
      </x:c>
      <x:c r="M14" s="2" t="str">
        <x:f>IF(A14="","",IF(L14="ID duplikat","Periksa ID",IF(F14="Dibatalkan","Rekonsiliasi",IF(AND(F14="Selesai",G14="Ya",H14="Ya",K14=0,L14="",(COUNTIFS(Pembayaran!$B$9:$B$108,A14,Pembayaran!$G$9:$G$108,"Lengkapi input")+COUNTIFS(Pembayaran!$B$9:$B$108,A14,Pembayaran!$G$9:$G$108,"ID duplikat")+COUNTIFS(Pembayaran!$B$9:$B$108,A14,Pembayaran!$G$9:$G$108,"Periksa ID proyek")+COUNTIFS(Pembayaran!$B$9:$B$108,A14,Pembayaran!$G$9:$G$108,"Isi ID pembayaran"))=0),"Siap ditutup","Masih terbuka"))))</x:f>
      </x:c>
    </x:row>
    <x:row r="15" ht="25" customHeight="1">
      <x:c r="A15" s="12"/>
      <x:c r="B15" s="12"/>
      <x:c r="C15" s="12"/>
      <x:c r="D15" s="13"/>
      <x:c r="E15" s="5"/>
      <x:c r="F15" s="12"/>
      <x:c r="G15" s="12"/>
      <x:c r="H15" s="12"/>
      <x:c r="I15" s="14"/>
      <x:c r="J15" s="6" t="str">
        <x:f>IF(A15="","",SUMIF(Pembayaran!$B$9:$B$108,A15,Pembayaran!$E$9:$E$108))</x:f>
      </x:c>
      <x:c r="K15" s="6" t="str">
        <x:f>IF(A15="","",IF(D15="","",D15-J15))</x:f>
      </x:c>
      <x:c r="L15" s="2" t="str">
        <x:f>IF(A15="","",IF(COUNTIF($A$9:$A$108,A15)&gt;1,"ID duplikat",IF(OR(B15="",C15="",D15="",D15&lt;=0,E15="",F15="",G15="",H15=""),"Lengkapi input",IF(K15&lt;0,"Lebih bayar",IF(AND(K15&gt;0,E15&lt;Ringkasan!$B$3),"Lewat tenggat","")))))</x:f>
      </x:c>
      <x:c r="M15" s="2" t="str">
        <x:f>IF(A15="","",IF(L15="ID duplikat","Periksa ID",IF(F15="Dibatalkan","Rekonsiliasi",IF(AND(F15="Selesai",G15="Ya",H15="Ya",K15=0,L15="",(COUNTIFS(Pembayaran!$B$9:$B$108,A15,Pembayaran!$G$9:$G$108,"Lengkapi input")+COUNTIFS(Pembayaran!$B$9:$B$108,A15,Pembayaran!$G$9:$G$108,"ID duplikat")+COUNTIFS(Pembayaran!$B$9:$B$108,A15,Pembayaran!$G$9:$G$108,"Periksa ID proyek")+COUNTIFS(Pembayaran!$B$9:$B$108,A15,Pembayaran!$G$9:$G$108,"Isi ID pembayaran"))=0),"Siap ditutup","Masih terbuka"))))</x:f>
      </x:c>
    </x:row>
    <x:row r="16" ht="25" customHeight="1">
      <x:c r="A16" s="12"/>
      <x:c r="B16" s="12"/>
      <x:c r="C16" s="12"/>
      <x:c r="D16" s="13"/>
      <x:c r="E16" s="5"/>
      <x:c r="F16" s="12"/>
      <x:c r="G16" s="12"/>
      <x:c r="H16" s="12"/>
      <x:c r="I16" s="14"/>
      <x:c r="J16" s="6" t="str">
        <x:f>IF(A16="","",SUMIF(Pembayaran!$B$9:$B$108,A16,Pembayaran!$E$9:$E$108))</x:f>
      </x:c>
      <x:c r="K16" s="6" t="str">
        <x:f>IF(A16="","",IF(D16="","",D16-J16))</x:f>
      </x:c>
      <x:c r="L16" s="2" t="str">
        <x:f>IF(A16="","",IF(COUNTIF($A$9:$A$108,A16)&gt;1,"ID duplikat",IF(OR(B16="",C16="",D16="",D16&lt;=0,E16="",F16="",G16="",H16=""),"Lengkapi input",IF(K16&lt;0,"Lebih bayar",IF(AND(K16&gt;0,E16&lt;Ringkasan!$B$3),"Lewat tenggat","")))))</x:f>
      </x:c>
      <x:c r="M16" s="2" t="str">
        <x:f>IF(A16="","",IF(L16="ID duplikat","Periksa ID",IF(F16="Dibatalkan","Rekonsiliasi",IF(AND(F16="Selesai",G16="Ya",H16="Ya",K16=0,L16="",(COUNTIFS(Pembayaran!$B$9:$B$108,A16,Pembayaran!$G$9:$G$108,"Lengkapi input")+COUNTIFS(Pembayaran!$B$9:$B$108,A16,Pembayaran!$G$9:$G$108,"ID duplikat")+COUNTIFS(Pembayaran!$B$9:$B$108,A16,Pembayaran!$G$9:$G$108,"Periksa ID proyek")+COUNTIFS(Pembayaran!$B$9:$B$108,A16,Pembayaran!$G$9:$G$108,"Isi ID pembayaran"))=0),"Siap ditutup","Masih terbuka"))))</x:f>
      </x:c>
    </x:row>
    <x:row r="17" ht="25" customHeight="1">
      <x:c r="A17" s="12"/>
      <x:c r="B17" s="12"/>
      <x:c r="C17" s="12"/>
      <x:c r="D17" s="13"/>
      <x:c r="E17" s="5"/>
      <x:c r="F17" s="12"/>
      <x:c r="G17" s="12"/>
      <x:c r="H17" s="12"/>
      <x:c r="I17" s="14"/>
      <x:c r="J17" s="6" t="str">
        <x:f>IF(A17="","",SUMIF(Pembayaran!$B$9:$B$108,A17,Pembayaran!$E$9:$E$108))</x:f>
      </x:c>
      <x:c r="K17" s="6" t="str">
        <x:f>IF(A17="","",IF(D17="","",D17-J17))</x:f>
      </x:c>
      <x:c r="L17" s="2" t="str">
        <x:f>IF(A17="","",IF(COUNTIF($A$9:$A$108,A17)&gt;1,"ID duplikat",IF(OR(B17="",C17="",D17="",D17&lt;=0,E17="",F17="",G17="",H17=""),"Lengkapi input",IF(K17&lt;0,"Lebih bayar",IF(AND(K17&gt;0,E17&lt;Ringkasan!$B$3),"Lewat tenggat","")))))</x:f>
      </x:c>
      <x:c r="M17" s="2" t="str">
        <x:f>IF(A17="","",IF(L17="ID duplikat","Periksa ID",IF(F17="Dibatalkan","Rekonsiliasi",IF(AND(F17="Selesai",G17="Ya",H17="Ya",K17=0,L17="",(COUNTIFS(Pembayaran!$B$9:$B$108,A17,Pembayaran!$G$9:$G$108,"Lengkapi input")+COUNTIFS(Pembayaran!$B$9:$B$108,A17,Pembayaran!$G$9:$G$108,"ID duplikat")+COUNTIFS(Pembayaran!$B$9:$B$108,A17,Pembayaran!$G$9:$G$108,"Periksa ID proyek")+COUNTIFS(Pembayaran!$B$9:$B$108,A17,Pembayaran!$G$9:$G$108,"Isi ID pembayaran"))=0),"Siap ditutup","Masih terbuka"))))</x:f>
      </x:c>
    </x:row>
    <x:row r="18" ht="25" customHeight="1">
      <x:c r="A18" s="12"/>
      <x:c r="B18" s="12"/>
      <x:c r="C18" s="12"/>
      <x:c r="D18" s="13"/>
      <x:c r="E18" s="5"/>
      <x:c r="F18" s="12"/>
      <x:c r="G18" s="12"/>
      <x:c r="H18" s="12"/>
      <x:c r="I18" s="14"/>
      <x:c r="J18" s="6" t="str">
        <x:f>IF(A18="","",SUMIF(Pembayaran!$B$9:$B$108,A18,Pembayaran!$E$9:$E$108))</x:f>
      </x:c>
      <x:c r="K18" s="6" t="str">
        <x:f>IF(A18="","",IF(D18="","",D18-J18))</x:f>
      </x:c>
      <x:c r="L18" s="2" t="str">
        <x:f>IF(A18="","",IF(COUNTIF($A$9:$A$108,A18)&gt;1,"ID duplikat",IF(OR(B18="",C18="",D18="",D18&lt;=0,E18="",F18="",G18="",H18=""),"Lengkapi input",IF(K18&lt;0,"Lebih bayar",IF(AND(K18&gt;0,E18&lt;Ringkasan!$B$3),"Lewat tenggat","")))))</x:f>
      </x:c>
      <x:c r="M18" s="2" t="str">
        <x:f>IF(A18="","",IF(L18="ID duplikat","Periksa ID",IF(F18="Dibatalkan","Rekonsiliasi",IF(AND(F18="Selesai",G18="Ya",H18="Ya",K18=0,L18="",(COUNTIFS(Pembayaran!$B$9:$B$108,A18,Pembayaran!$G$9:$G$108,"Lengkapi input")+COUNTIFS(Pembayaran!$B$9:$B$108,A18,Pembayaran!$G$9:$G$108,"ID duplikat")+COUNTIFS(Pembayaran!$B$9:$B$108,A18,Pembayaran!$G$9:$G$108,"Periksa ID proyek")+COUNTIFS(Pembayaran!$B$9:$B$108,A18,Pembayaran!$G$9:$G$108,"Isi ID pembayaran"))=0),"Siap ditutup","Masih terbuka"))))</x:f>
      </x:c>
    </x:row>
    <x:row r="19" ht="25" customHeight="1">
      <x:c r="A19" s="12"/>
      <x:c r="B19" s="12"/>
      <x:c r="C19" s="12"/>
      <x:c r="D19" s="13"/>
      <x:c r="E19" s="5"/>
      <x:c r="F19" s="12"/>
      <x:c r="G19" s="12"/>
      <x:c r="H19" s="12"/>
      <x:c r="I19" s="14"/>
      <x:c r="J19" s="6" t="str">
        <x:f>IF(A19="","",SUMIF(Pembayaran!$B$9:$B$108,A19,Pembayaran!$E$9:$E$108))</x:f>
      </x:c>
      <x:c r="K19" s="6" t="str">
        <x:f>IF(A19="","",IF(D19="","",D19-J19))</x:f>
      </x:c>
      <x:c r="L19" s="2" t="str">
        <x:f>IF(A19="","",IF(COUNTIF($A$9:$A$108,A19)&gt;1,"ID duplikat",IF(OR(B19="",C19="",D19="",D19&lt;=0,E19="",F19="",G19="",H19=""),"Lengkapi input",IF(K19&lt;0,"Lebih bayar",IF(AND(K19&gt;0,E19&lt;Ringkasan!$B$3),"Lewat tenggat","")))))</x:f>
      </x:c>
      <x:c r="M19" s="2" t="str">
        <x:f>IF(A19="","",IF(L19="ID duplikat","Periksa ID",IF(F19="Dibatalkan","Rekonsiliasi",IF(AND(F19="Selesai",G19="Ya",H19="Ya",K19=0,L19="",(COUNTIFS(Pembayaran!$B$9:$B$108,A19,Pembayaran!$G$9:$G$108,"Lengkapi input")+COUNTIFS(Pembayaran!$B$9:$B$108,A19,Pembayaran!$G$9:$G$108,"ID duplikat")+COUNTIFS(Pembayaran!$B$9:$B$108,A19,Pembayaran!$G$9:$G$108,"Periksa ID proyek")+COUNTIFS(Pembayaran!$B$9:$B$108,A19,Pembayaran!$G$9:$G$108,"Isi ID pembayaran"))=0),"Siap ditutup","Masih terbuka"))))</x:f>
      </x:c>
    </x:row>
    <x:row r="20" ht="25" customHeight="1">
      <x:c r="A20" s="12"/>
      <x:c r="B20" s="12"/>
      <x:c r="C20" s="12"/>
      <x:c r="D20" s="13"/>
      <x:c r="E20" s="5"/>
      <x:c r="F20" s="12"/>
      <x:c r="G20" s="12"/>
      <x:c r="H20" s="12"/>
      <x:c r="I20" s="14"/>
      <x:c r="J20" s="6" t="str">
        <x:f>IF(A20="","",SUMIF(Pembayaran!$B$9:$B$108,A20,Pembayaran!$E$9:$E$108))</x:f>
      </x:c>
      <x:c r="K20" s="6" t="str">
        <x:f>IF(A20="","",IF(D20="","",D20-J20))</x:f>
      </x:c>
      <x:c r="L20" s="2" t="str">
        <x:f>IF(A20="","",IF(COUNTIF($A$9:$A$108,A20)&gt;1,"ID duplikat",IF(OR(B20="",C20="",D20="",D20&lt;=0,E20="",F20="",G20="",H20=""),"Lengkapi input",IF(K20&lt;0,"Lebih bayar",IF(AND(K20&gt;0,E20&lt;Ringkasan!$B$3),"Lewat tenggat","")))))</x:f>
      </x:c>
      <x:c r="M20" s="2" t="str">
        <x:f>IF(A20="","",IF(L20="ID duplikat","Periksa ID",IF(F20="Dibatalkan","Rekonsiliasi",IF(AND(F20="Selesai",G20="Ya",H20="Ya",K20=0,L20="",(COUNTIFS(Pembayaran!$B$9:$B$108,A20,Pembayaran!$G$9:$G$108,"Lengkapi input")+COUNTIFS(Pembayaran!$B$9:$B$108,A20,Pembayaran!$G$9:$G$108,"ID duplikat")+COUNTIFS(Pembayaran!$B$9:$B$108,A20,Pembayaran!$G$9:$G$108,"Periksa ID proyek")+COUNTIFS(Pembayaran!$B$9:$B$108,A20,Pembayaran!$G$9:$G$108,"Isi ID pembayaran"))=0),"Siap ditutup","Masih terbuka"))))</x:f>
      </x:c>
    </x:row>
    <x:row r="21" ht="25" customHeight="1">
      <x:c r="A21" s="12"/>
      <x:c r="B21" s="12"/>
      <x:c r="C21" s="12"/>
      <x:c r="D21" s="13"/>
      <x:c r="E21" s="5"/>
      <x:c r="F21" s="12"/>
      <x:c r="G21" s="12"/>
      <x:c r="H21" s="12"/>
      <x:c r="I21" s="14"/>
      <x:c r="J21" s="6" t="str">
        <x:f>IF(A21="","",SUMIF(Pembayaran!$B$9:$B$108,A21,Pembayaran!$E$9:$E$108))</x:f>
      </x:c>
      <x:c r="K21" s="6" t="str">
        <x:f>IF(A21="","",IF(D21="","",D21-J21))</x:f>
      </x:c>
      <x:c r="L21" s="2" t="str">
        <x:f>IF(A21="","",IF(COUNTIF($A$9:$A$108,A21)&gt;1,"ID duplikat",IF(OR(B21="",C21="",D21="",D21&lt;=0,E21="",F21="",G21="",H21=""),"Lengkapi input",IF(K21&lt;0,"Lebih bayar",IF(AND(K21&gt;0,E21&lt;Ringkasan!$B$3),"Lewat tenggat","")))))</x:f>
      </x:c>
      <x:c r="M21" s="2" t="str">
        <x:f>IF(A21="","",IF(L21="ID duplikat","Periksa ID",IF(F21="Dibatalkan","Rekonsiliasi",IF(AND(F21="Selesai",G21="Ya",H21="Ya",K21=0,L21="",(COUNTIFS(Pembayaran!$B$9:$B$108,A21,Pembayaran!$G$9:$G$108,"Lengkapi input")+COUNTIFS(Pembayaran!$B$9:$B$108,A21,Pembayaran!$G$9:$G$108,"ID duplikat")+COUNTIFS(Pembayaran!$B$9:$B$108,A21,Pembayaran!$G$9:$G$108,"Periksa ID proyek")+COUNTIFS(Pembayaran!$B$9:$B$108,A21,Pembayaran!$G$9:$G$108,"Isi ID pembayaran"))=0),"Siap ditutup","Masih terbuka"))))</x:f>
      </x:c>
    </x:row>
    <x:row r="22" ht="25" customHeight="1">
      <x:c r="A22" s="12"/>
      <x:c r="B22" s="12"/>
      <x:c r="C22" s="12"/>
      <x:c r="D22" s="13"/>
      <x:c r="E22" s="5"/>
      <x:c r="F22" s="12"/>
      <x:c r="G22" s="12"/>
      <x:c r="H22" s="12"/>
      <x:c r="I22" s="14"/>
      <x:c r="J22" s="6" t="str">
        <x:f>IF(A22="","",SUMIF(Pembayaran!$B$9:$B$108,A22,Pembayaran!$E$9:$E$108))</x:f>
      </x:c>
      <x:c r="K22" s="6" t="str">
        <x:f>IF(A22="","",IF(D22="","",D22-J22))</x:f>
      </x:c>
      <x:c r="L22" s="2" t="str">
        <x:f>IF(A22="","",IF(COUNTIF($A$9:$A$108,A22)&gt;1,"ID duplikat",IF(OR(B22="",C22="",D22="",D22&lt;=0,E22="",F22="",G22="",H22=""),"Lengkapi input",IF(K22&lt;0,"Lebih bayar",IF(AND(K22&gt;0,E22&lt;Ringkasan!$B$3),"Lewat tenggat","")))))</x:f>
      </x:c>
      <x:c r="M22" s="2" t="str">
        <x:f>IF(A22="","",IF(L22="ID duplikat","Periksa ID",IF(F22="Dibatalkan","Rekonsiliasi",IF(AND(F22="Selesai",G22="Ya",H22="Ya",K22=0,L22="",(COUNTIFS(Pembayaran!$B$9:$B$108,A22,Pembayaran!$G$9:$G$108,"Lengkapi input")+COUNTIFS(Pembayaran!$B$9:$B$108,A22,Pembayaran!$G$9:$G$108,"ID duplikat")+COUNTIFS(Pembayaran!$B$9:$B$108,A22,Pembayaran!$G$9:$G$108,"Periksa ID proyek")+COUNTIFS(Pembayaran!$B$9:$B$108,A22,Pembayaran!$G$9:$G$108,"Isi ID pembayaran"))=0),"Siap ditutup","Masih terbuka"))))</x:f>
      </x:c>
    </x:row>
    <x:row r="23" ht="25" customHeight="1">
      <x:c r="A23" s="12"/>
      <x:c r="B23" s="12"/>
      <x:c r="C23" s="12"/>
      <x:c r="D23" s="13"/>
      <x:c r="E23" s="5"/>
      <x:c r="F23" s="12"/>
      <x:c r="G23" s="12"/>
      <x:c r="H23" s="12"/>
      <x:c r="I23" s="14"/>
      <x:c r="J23" s="6" t="str">
        <x:f>IF(A23="","",SUMIF(Pembayaran!$B$9:$B$108,A23,Pembayaran!$E$9:$E$108))</x:f>
      </x:c>
      <x:c r="K23" s="6" t="str">
        <x:f>IF(A23="","",IF(D23="","",D23-J23))</x:f>
      </x:c>
      <x:c r="L23" s="2" t="str">
        <x:f>IF(A23="","",IF(COUNTIF($A$9:$A$108,A23)&gt;1,"ID duplikat",IF(OR(B23="",C23="",D23="",D23&lt;=0,E23="",F23="",G23="",H23=""),"Lengkapi input",IF(K23&lt;0,"Lebih bayar",IF(AND(K23&gt;0,E23&lt;Ringkasan!$B$3),"Lewat tenggat","")))))</x:f>
      </x:c>
      <x:c r="M23" s="2" t="str">
        <x:f>IF(A23="","",IF(L23="ID duplikat","Periksa ID",IF(F23="Dibatalkan","Rekonsiliasi",IF(AND(F23="Selesai",G23="Ya",H23="Ya",K23=0,L23="",(COUNTIFS(Pembayaran!$B$9:$B$108,A23,Pembayaran!$G$9:$G$108,"Lengkapi input")+COUNTIFS(Pembayaran!$B$9:$B$108,A23,Pembayaran!$G$9:$G$108,"ID duplikat")+COUNTIFS(Pembayaran!$B$9:$B$108,A23,Pembayaran!$G$9:$G$108,"Periksa ID proyek")+COUNTIFS(Pembayaran!$B$9:$B$108,A23,Pembayaran!$G$9:$G$108,"Isi ID pembayaran"))=0),"Siap ditutup","Masih terbuka"))))</x:f>
      </x:c>
    </x:row>
    <x:row r="24" ht="25" customHeight="1">
      <x:c r="A24" s="12"/>
      <x:c r="B24" s="12"/>
      <x:c r="C24" s="12"/>
      <x:c r="D24" s="13"/>
      <x:c r="E24" s="5"/>
      <x:c r="F24" s="12"/>
      <x:c r="G24" s="12"/>
      <x:c r="H24" s="12"/>
      <x:c r="I24" s="14"/>
      <x:c r="J24" s="6" t="str">
        <x:f>IF(A24="","",SUMIF(Pembayaran!$B$9:$B$108,A24,Pembayaran!$E$9:$E$108))</x:f>
      </x:c>
      <x:c r="K24" s="6" t="str">
        <x:f>IF(A24="","",IF(D24="","",D24-J24))</x:f>
      </x:c>
      <x:c r="L24" s="2" t="str">
        <x:f>IF(A24="","",IF(COUNTIF($A$9:$A$108,A24)&gt;1,"ID duplikat",IF(OR(B24="",C24="",D24="",D24&lt;=0,E24="",F24="",G24="",H24=""),"Lengkapi input",IF(K24&lt;0,"Lebih bayar",IF(AND(K24&gt;0,E24&lt;Ringkasan!$B$3),"Lewat tenggat","")))))</x:f>
      </x:c>
      <x:c r="M24" s="2" t="str">
        <x:f>IF(A24="","",IF(L24="ID duplikat","Periksa ID",IF(F24="Dibatalkan","Rekonsiliasi",IF(AND(F24="Selesai",G24="Ya",H24="Ya",K24=0,L24="",(COUNTIFS(Pembayaran!$B$9:$B$108,A24,Pembayaran!$G$9:$G$108,"Lengkapi input")+COUNTIFS(Pembayaran!$B$9:$B$108,A24,Pembayaran!$G$9:$G$108,"ID duplikat")+COUNTIFS(Pembayaran!$B$9:$B$108,A24,Pembayaran!$G$9:$G$108,"Periksa ID proyek")+COUNTIFS(Pembayaran!$B$9:$B$108,A24,Pembayaran!$G$9:$G$108,"Isi ID pembayaran"))=0),"Siap ditutup","Masih terbuka"))))</x:f>
      </x:c>
    </x:row>
    <x:row r="25" ht="25" customHeight="1">
      <x:c r="A25" s="12"/>
      <x:c r="B25" s="12"/>
      <x:c r="C25" s="12"/>
      <x:c r="D25" s="13"/>
      <x:c r="E25" s="5"/>
      <x:c r="F25" s="12"/>
      <x:c r="G25" s="12"/>
      <x:c r="H25" s="12"/>
      <x:c r="I25" s="14"/>
      <x:c r="J25" s="6" t="str">
        <x:f>IF(A25="","",SUMIF(Pembayaran!$B$9:$B$108,A25,Pembayaran!$E$9:$E$108))</x:f>
      </x:c>
      <x:c r="K25" s="6" t="str">
        <x:f>IF(A25="","",IF(D25="","",D25-J25))</x:f>
      </x:c>
      <x:c r="L25" s="2" t="str">
        <x:f>IF(A25="","",IF(COUNTIF($A$9:$A$108,A25)&gt;1,"ID duplikat",IF(OR(B25="",C25="",D25="",D25&lt;=0,E25="",F25="",G25="",H25=""),"Lengkapi input",IF(K25&lt;0,"Lebih bayar",IF(AND(K25&gt;0,E25&lt;Ringkasan!$B$3),"Lewat tenggat","")))))</x:f>
      </x:c>
      <x:c r="M25" s="2" t="str">
        <x:f>IF(A25="","",IF(L25="ID duplikat","Periksa ID",IF(F25="Dibatalkan","Rekonsiliasi",IF(AND(F25="Selesai",G25="Ya",H25="Ya",K25=0,L25="",(COUNTIFS(Pembayaran!$B$9:$B$108,A25,Pembayaran!$G$9:$G$108,"Lengkapi input")+COUNTIFS(Pembayaran!$B$9:$B$108,A25,Pembayaran!$G$9:$G$108,"ID duplikat")+COUNTIFS(Pembayaran!$B$9:$B$108,A25,Pembayaran!$G$9:$G$108,"Periksa ID proyek")+COUNTIFS(Pembayaran!$B$9:$B$108,A25,Pembayaran!$G$9:$G$108,"Isi ID pembayaran"))=0),"Siap ditutup","Masih terbuka"))))</x:f>
      </x:c>
    </x:row>
    <x:row r="26" ht="25" customHeight="1">
      <x:c r="A26" s="12"/>
      <x:c r="B26" s="12"/>
      <x:c r="C26" s="12"/>
      <x:c r="D26" s="13"/>
      <x:c r="E26" s="5"/>
      <x:c r="F26" s="12"/>
      <x:c r="G26" s="12"/>
      <x:c r="H26" s="12"/>
      <x:c r="I26" s="14"/>
      <x:c r="J26" s="6" t="str">
        <x:f>IF(A26="","",SUMIF(Pembayaran!$B$9:$B$108,A26,Pembayaran!$E$9:$E$108))</x:f>
      </x:c>
      <x:c r="K26" s="6" t="str">
        <x:f>IF(A26="","",IF(D26="","",D26-J26))</x:f>
      </x:c>
      <x:c r="L26" s="2" t="str">
        <x:f>IF(A26="","",IF(COUNTIF($A$9:$A$108,A26)&gt;1,"ID duplikat",IF(OR(B26="",C26="",D26="",D26&lt;=0,E26="",F26="",G26="",H26=""),"Lengkapi input",IF(K26&lt;0,"Lebih bayar",IF(AND(K26&gt;0,E26&lt;Ringkasan!$B$3),"Lewat tenggat","")))))</x:f>
      </x:c>
      <x:c r="M26" s="2" t="str">
        <x:f>IF(A26="","",IF(L26="ID duplikat","Periksa ID",IF(F26="Dibatalkan","Rekonsiliasi",IF(AND(F26="Selesai",G26="Ya",H26="Ya",K26=0,L26="",(COUNTIFS(Pembayaran!$B$9:$B$108,A26,Pembayaran!$G$9:$G$108,"Lengkapi input")+COUNTIFS(Pembayaran!$B$9:$B$108,A26,Pembayaran!$G$9:$G$108,"ID duplikat")+COUNTIFS(Pembayaran!$B$9:$B$108,A26,Pembayaran!$G$9:$G$108,"Periksa ID proyek")+COUNTIFS(Pembayaran!$B$9:$B$108,A26,Pembayaran!$G$9:$G$108,"Isi ID pembayaran"))=0),"Siap ditutup","Masih terbuka"))))</x:f>
      </x:c>
    </x:row>
    <x:row r="27" ht="25" customHeight="1">
      <x:c r="A27" s="12"/>
      <x:c r="B27" s="12"/>
      <x:c r="C27" s="12"/>
      <x:c r="D27" s="13"/>
      <x:c r="E27" s="5"/>
      <x:c r="F27" s="12"/>
      <x:c r="G27" s="12"/>
      <x:c r="H27" s="12"/>
      <x:c r="I27" s="14"/>
      <x:c r="J27" s="6" t="str">
        <x:f>IF(A27="","",SUMIF(Pembayaran!$B$9:$B$108,A27,Pembayaran!$E$9:$E$108))</x:f>
      </x:c>
      <x:c r="K27" s="6" t="str">
        <x:f>IF(A27="","",IF(D27="","",D27-J27))</x:f>
      </x:c>
      <x:c r="L27" s="2" t="str">
        <x:f>IF(A27="","",IF(COUNTIF($A$9:$A$108,A27)&gt;1,"ID duplikat",IF(OR(B27="",C27="",D27="",D27&lt;=0,E27="",F27="",G27="",H27=""),"Lengkapi input",IF(K27&lt;0,"Lebih bayar",IF(AND(K27&gt;0,E27&lt;Ringkasan!$B$3),"Lewat tenggat","")))))</x:f>
      </x:c>
      <x:c r="M27" s="2" t="str">
        <x:f>IF(A27="","",IF(L27="ID duplikat","Periksa ID",IF(F27="Dibatalkan","Rekonsiliasi",IF(AND(F27="Selesai",G27="Ya",H27="Ya",K27=0,L27="",(COUNTIFS(Pembayaran!$B$9:$B$108,A27,Pembayaran!$G$9:$G$108,"Lengkapi input")+COUNTIFS(Pembayaran!$B$9:$B$108,A27,Pembayaran!$G$9:$G$108,"ID duplikat")+COUNTIFS(Pembayaran!$B$9:$B$108,A27,Pembayaran!$G$9:$G$108,"Periksa ID proyek")+COUNTIFS(Pembayaran!$B$9:$B$108,A27,Pembayaran!$G$9:$G$108,"Isi ID pembayaran"))=0),"Siap ditutup","Masih terbuka"))))</x:f>
      </x:c>
    </x:row>
    <x:row r="28" ht="25" customHeight="1">
      <x:c r="A28" s="12"/>
      <x:c r="B28" s="12"/>
      <x:c r="C28" s="12"/>
      <x:c r="D28" s="13"/>
      <x:c r="E28" s="5"/>
      <x:c r="F28" s="12"/>
      <x:c r="G28" s="12"/>
      <x:c r="H28" s="12"/>
      <x:c r="I28" s="14"/>
      <x:c r="J28" s="6" t="str">
        <x:f>IF(A28="","",SUMIF(Pembayaran!$B$9:$B$108,A28,Pembayaran!$E$9:$E$108))</x:f>
      </x:c>
      <x:c r="K28" s="6" t="str">
        <x:f>IF(A28="","",IF(D28="","",D28-J28))</x:f>
      </x:c>
      <x:c r="L28" s="2" t="str">
        <x:f>IF(A28="","",IF(COUNTIF($A$9:$A$108,A28)&gt;1,"ID duplikat",IF(OR(B28="",C28="",D28="",D28&lt;=0,E28="",F28="",G28="",H28=""),"Lengkapi input",IF(K28&lt;0,"Lebih bayar",IF(AND(K28&gt;0,E28&lt;Ringkasan!$B$3),"Lewat tenggat","")))))</x:f>
      </x:c>
      <x:c r="M28" s="2" t="str">
        <x:f>IF(A28="","",IF(L28="ID duplikat","Periksa ID",IF(F28="Dibatalkan","Rekonsiliasi",IF(AND(F28="Selesai",G28="Ya",H28="Ya",K28=0,L28="",(COUNTIFS(Pembayaran!$B$9:$B$108,A28,Pembayaran!$G$9:$G$108,"Lengkapi input")+COUNTIFS(Pembayaran!$B$9:$B$108,A28,Pembayaran!$G$9:$G$108,"ID duplikat")+COUNTIFS(Pembayaran!$B$9:$B$108,A28,Pembayaran!$G$9:$G$108,"Periksa ID proyek")+COUNTIFS(Pembayaran!$B$9:$B$108,A28,Pembayaran!$G$9:$G$108,"Isi ID pembayaran"))=0),"Siap ditutup","Masih terbuka"))))</x:f>
      </x:c>
    </x:row>
    <x:row r="29" ht="25" customHeight="1">
      <x:c r="A29" s="12"/>
      <x:c r="B29" s="12"/>
      <x:c r="C29" s="12"/>
      <x:c r="D29" s="13"/>
      <x:c r="E29" s="5"/>
      <x:c r="F29" s="12"/>
      <x:c r="G29" s="12"/>
      <x:c r="H29" s="12"/>
      <x:c r="I29" s="14"/>
      <x:c r="J29" s="6" t="str">
        <x:f>IF(A29="","",SUMIF(Pembayaran!$B$9:$B$108,A29,Pembayaran!$E$9:$E$108))</x:f>
      </x:c>
      <x:c r="K29" s="6" t="str">
        <x:f>IF(A29="","",IF(D29="","",D29-J29))</x:f>
      </x:c>
      <x:c r="L29" s="2" t="str">
        <x:f>IF(A29="","",IF(COUNTIF($A$9:$A$108,A29)&gt;1,"ID duplikat",IF(OR(B29="",C29="",D29="",D29&lt;=0,E29="",F29="",G29="",H29=""),"Lengkapi input",IF(K29&lt;0,"Lebih bayar",IF(AND(K29&gt;0,E29&lt;Ringkasan!$B$3),"Lewat tenggat","")))))</x:f>
      </x:c>
      <x:c r="M29" s="2" t="str">
        <x:f>IF(A29="","",IF(L29="ID duplikat","Periksa ID",IF(F29="Dibatalkan","Rekonsiliasi",IF(AND(F29="Selesai",G29="Ya",H29="Ya",K29=0,L29="",(COUNTIFS(Pembayaran!$B$9:$B$108,A29,Pembayaran!$G$9:$G$108,"Lengkapi input")+COUNTIFS(Pembayaran!$B$9:$B$108,A29,Pembayaran!$G$9:$G$108,"ID duplikat")+COUNTIFS(Pembayaran!$B$9:$B$108,A29,Pembayaran!$G$9:$G$108,"Periksa ID proyek")+COUNTIFS(Pembayaran!$B$9:$B$108,A29,Pembayaran!$G$9:$G$108,"Isi ID pembayaran"))=0),"Siap ditutup","Masih terbuka"))))</x:f>
      </x:c>
    </x:row>
    <x:row r="30" ht="25" customHeight="1">
      <x:c r="A30" s="12"/>
      <x:c r="B30" s="12"/>
      <x:c r="C30" s="12"/>
      <x:c r="D30" s="13"/>
      <x:c r="E30" s="5"/>
      <x:c r="F30" s="12"/>
      <x:c r="G30" s="12"/>
      <x:c r="H30" s="12"/>
      <x:c r="I30" s="14"/>
      <x:c r="J30" s="6" t="str">
        <x:f>IF(A30="","",SUMIF(Pembayaran!$B$9:$B$108,A30,Pembayaran!$E$9:$E$108))</x:f>
      </x:c>
      <x:c r="K30" s="6" t="str">
        <x:f>IF(A30="","",IF(D30="","",D30-J30))</x:f>
      </x:c>
      <x:c r="L30" s="2" t="str">
        <x:f>IF(A30="","",IF(COUNTIF($A$9:$A$108,A30)&gt;1,"ID duplikat",IF(OR(B30="",C30="",D30="",D30&lt;=0,E30="",F30="",G30="",H30=""),"Lengkapi input",IF(K30&lt;0,"Lebih bayar",IF(AND(K30&gt;0,E30&lt;Ringkasan!$B$3),"Lewat tenggat","")))))</x:f>
      </x:c>
      <x:c r="M30" s="2" t="str">
        <x:f>IF(A30="","",IF(L30="ID duplikat","Periksa ID",IF(F30="Dibatalkan","Rekonsiliasi",IF(AND(F30="Selesai",G30="Ya",H30="Ya",K30=0,L30="",(COUNTIFS(Pembayaran!$B$9:$B$108,A30,Pembayaran!$G$9:$G$108,"Lengkapi input")+COUNTIFS(Pembayaran!$B$9:$B$108,A30,Pembayaran!$G$9:$G$108,"ID duplikat")+COUNTIFS(Pembayaran!$B$9:$B$108,A30,Pembayaran!$G$9:$G$108,"Periksa ID proyek")+COUNTIFS(Pembayaran!$B$9:$B$108,A30,Pembayaran!$G$9:$G$108,"Isi ID pembayaran"))=0),"Siap ditutup","Masih terbuka"))))</x:f>
      </x:c>
    </x:row>
    <x:row r="31" ht="25" customHeight="1">
      <x:c r="A31" s="12"/>
      <x:c r="B31" s="12"/>
      <x:c r="C31" s="12"/>
      <x:c r="D31" s="13"/>
      <x:c r="E31" s="5"/>
      <x:c r="F31" s="12"/>
      <x:c r="G31" s="12"/>
      <x:c r="H31" s="12"/>
      <x:c r="I31" s="14"/>
      <x:c r="J31" s="6" t="str">
        <x:f>IF(A31="","",SUMIF(Pembayaran!$B$9:$B$108,A31,Pembayaran!$E$9:$E$108))</x:f>
      </x:c>
      <x:c r="K31" s="6" t="str">
        <x:f>IF(A31="","",IF(D31="","",D31-J31))</x:f>
      </x:c>
      <x:c r="L31" s="2" t="str">
        <x:f>IF(A31="","",IF(COUNTIF($A$9:$A$108,A31)&gt;1,"ID duplikat",IF(OR(B31="",C31="",D31="",D31&lt;=0,E31="",F31="",G31="",H31=""),"Lengkapi input",IF(K31&lt;0,"Lebih bayar",IF(AND(K31&gt;0,E31&lt;Ringkasan!$B$3),"Lewat tenggat","")))))</x:f>
      </x:c>
      <x:c r="M31" s="2" t="str">
        <x:f>IF(A31="","",IF(L31="ID duplikat","Periksa ID",IF(F31="Dibatalkan","Rekonsiliasi",IF(AND(F31="Selesai",G31="Ya",H31="Ya",K31=0,L31="",(COUNTIFS(Pembayaran!$B$9:$B$108,A31,Pembayaran!$G$9:$G$108,"Lengkapi input")+COUNTIFS(Pembayaran!$B$9:$B$108,A31,Pembayaran!$G$9:$G$108,"ID duplikat")+COUNTIFS(Pembayaran!$B$9:$B$108,A31,Pembayaran!$G$9:$G$108,"Periksa ID proyek")+COUNTIFS(Pembayaran!$B$9:$B$108,A31,Pembayaran!$G$9:$G$108,"Isi ID pembayaran"))=0),"Siap ditutup","Masih terbuka"))))</x:f>
      </x:c>
    </x:row>
    <x:row r="32" ht="25" customHeight="1">
      <x:c r="A32" s="12"/>
      <x:c r="B32" s="12"/>
      <x:c r="C32" s="12"/>
      <x:c r="D32" s="13"/>
      <x:c r="E32" s="5"/>
      <x:c r="F32" s="12"/>
      <x:c r="G32" s="12"/>
      <x:c r="H32" s="12"/>
      <x:c r="I32" s="14"/>
      <x:c r="J32" s="6" t="str">
        <x:f>IF(A32="","",SUMIF(Pembayaran!$B$9:$B$108,A32,Pembayaran!$E$9:$E$108))</x:f>
      </x:c>
      <x:c r="K32" s="6" t="str">
        <x:f>IF(A32="","",IF(D32="","",D32-J32))</x:f>
      </x:c>
      <x:c r="L32" s="2" t="str">
        <x:f>IF(A32="","",IF(COUNTIF($A$9:$A$108,A32)&gt;1,"ID duplikat",IF(OR(B32="",C32="",D32="",D32&lt;=0,E32="",F32="",G32="",H32=""),"Lengkapi input",IF(K32&lt;0,"Lebih bayar",IF(AND(K32&gt;0,E32&lt;Ringkasan!$B$3),"Lewat tenggat","")))))</x:f>
      </x:c>
      <x:c r="M32" s="2" t="str">
        <x:f>IF(A32="","",IF(L32="ID duplikat","Periksa ID",IF(F32="Dibatalkan","Rekonsiliasi",IF(AND(F32="Selesai",G32="Ya",H32="Ya",K32=0,L32="",(COUNTIFS(Pembayaran!$B$9:$B$108,A32,Pembayaran!$G$9:$G$108,"Lengkapi input")+COUNTIFS(Pembayaran!$B$9:$B$108,A32,Pembayaran!$G$9:$G$108,"ID duplikat")+COUNTIFS(Pembayaran!$B$9:$B$108,A32,Pembayaran!$G$9:$G$108,"Periksa ID proyek")+COUNTIFS(Pembayaran!$B$9:$B$108,A32,Pembayaran!$G$9:$G$108,"Isi ID pembayaran"))=0),"Siap ditutup","Masih terbuka"))))</x:f>
      </x:c>
    </x:row>
    <x:row r="33" ht="25" customHeight="1">
      <x:c r="A33" s="12"/>
      <x:c r="B33" s="12"/>
      <x:c r="C33" s="12"/>
      <x:c r="D33" s="13"/>
      <x:c r="E33" s="5"/>
      <x:c r="F33" s="12"/>
      <x:c r="G33" s="12"/>
      <x:c r="H33" s="12"/>
      <x:c r="I33" s="14"/>
      <x:c r="J33" s="6" t="str">
        <x:f>IF(A33="","",SUMIF(Pembayaran!$B$9:$B$108,A33,Pembayaran!$E$9:$E$108))</x:f>
      </x:c>
      <x:c r="K33" s="6" t="str">
        <x:f>IF(A33="","",IF(D33="","",D33-J33))</x:f>
      </x:c>
      <x:c r="L33" s="2" t="str">
        <x:f>IF(A33="","",IF(COUNTIF($A$9:$A$108,A33)&gt;1,"ID duplikat",IF(OR(B33="",C33="",D33="",D33&lt;=0,E33="",F33="",G33="",H33=""),"Lengkapi input",IF(K33&lt;0,"Lebih bayar",IF(AND(K33&gt;0,E33&lt;Ringkasan!$B$3),"Lewat tenggat","")))))</x:f>
      </x:c>
      <x:c r="M33" s="2" t="str">
        <x:f>IF(A33="","",IF(L33="ID duplikat","Periksa ID",IF(F33="Dibatalkan","Rekonsiliasi",IF(AND(F33="Selesai",G33="Ya",H33="Ya",K33=0,L33="",(COUNTIFS(Pembayaran!$B$9:$B$108,A33,Pembayaran!$G$9:$G$108,"Lengkapi input")+COUNTIFS(Pembayaran!$B$9:$B$108,A33,Pembayaran!$G$9:$G$108,"ID duplikat")+COUNTIFS(Pembayaran!$B$9:$B$108,A33,Pembayaran!$G$9:$G$108,"Periksa ID proyek")+COUNTIFS(Pembayaran!$B$9:$B$108,A33,Pembayaran!$G$9:$G$108,"Isi ID pembayaran"))=0),"Siap ditutup","Masih terbuka"))))</x:f>
      </x:c>
    </x:row>
    <x:row r="34" ht="25" customHeight="1">
      <x:c r="A34" s="12"/>
      <x:c r="B34" s="12"/>
      <x:c r="C34" s="12"/>
      <x:c r="D34" s="13"/>
      <x:c r="E34" s="5"/>
      <x:c r="F34" s="12"/>
      <x:c r="G34" s="12"/>
      <x:c r="H34" s="12"/>
      <x:c r="I34" s="14"/>
      <x:c r="J34" s="6" t="str">
        <x:f>IF(A34="","",SUMIF(Pembayaran!$B$9:$B$108,A34,Pembayaran!$E$9:$E$108))</x:f>
      </x:c>
      <x:c r="K34" s="6" t="str">
        <x:f>IF(A34="","",IF(D34="","",D34-J34))</x:f>
      </x:c>
      <x:c r="L34" s="2" t="str">
        <x:f>IF(A34="","",IF(COUNTIF($A$9:$A$108,A34)&gt;1,"ID duplikat",IF(OR(B34="",C34="",D34="",D34&lt;=0,E34="",F34="",G34="",H34=""),"Lengkapi input",IF(K34&lt;0,"Lebih bayar",IF(AND(K34&gt;0,E34&lt;Ringkasan!$B$3),"Lewat tenggat","")))))</x:f>
      </x:c>
      <x:c r="M34" s="2" t="str">
        <x:f>IF(A34="","",IF(L34="ID duplikat","Periksa ID",IF(F34="Dibatalkan","Rekonsiliasi",IF(AND(F34="Selesai",G34="Ya",H34="Ya",K34=0,L34="",(COUNTIFS(Pembayaran!$B$9:$B$108,A34,Pembayaran!$G$9:$G$108,"Lengkapi input")+COUNTIFS(Pembayaran!$B$9:$B$108,A34,Pembayaran!$G$9:$G$108,"ID duplikat")+COUNTIFS(Pembayaran!$B$9:$B$108,A34,Pembayaran!$G$9:$G$108,"Periksa ID proyek")+COUNTIFS(Pembayaran!$B$9:$B$108,A34,Pembayaran!$G$9:$G$108,"Isi ID pembayaran"))=0),"Siap ditutup","Masih terbuka"))))</x:f>
      </x:c>
    </x:row>
    <x:row r="35" ht="25" customHeight="1">
      <x:c r="A35" s="12"/>
      <x:c r="B35" s="12"/>
      <x:c r="C35" s="12"/>
      <x:c r="D35" s="13"/>
      <x:c r="E35" s="5"/>
      <x:c r="F35" s="12"/>
      <x:c r="G35" s="12"/>
      <x:c r="H35" s="12"/>
      <x:c r="I35" s="14"/>
      <x:c r="J35" s="6" t="str">
        <x:f>IF(A35="","",SUMIF(Pembayaran!$B$9:$B$108,A35,Pembayaran!$E$9:$E$108))</x:f>
      </x:c>
      <x:c r="K35" s="6" t="str">
        <x:f>IF(A35="","",IF(D35="","",D35-J35))</x:f>
      </x:c>
      <x:c r="L35" s="2" t="str">
        <x:f>IF(A35="","",IF(COUNTIF($A$9:$A$108,A35)&gt;1,"ID duplikat",IF(OR(B35="",C35="",D35="",D35&lt;=0,E35="",F35="",G35="",H35=""),"Lengkapi input",IF(K35&lt;0,"Lebih bayar",IF(AND(K35&gt;0,E35&lt;Ringkasan!$B$3),"Lewat tenggat","")))))</x:f>
      </x:c>
      <x:c r="M35" s="2" t="str">
        <x:f>IF(A35="","",IF(L35="ID duplikat","Periksa ID",IF(F35="Dibatalkan","Rekonsiliasi",IF(AND(F35="Selesai",G35="Ya",H35="Ya",K35=0,L35="",(COUNTIFS(Pembayaran!$B$9:$B$108,A35,Pembayaran!$G$9:$G$108,"Lengkapi input")+COUNTIFS(Pembayaran!$B$9:$B$108,A35,Pembayaran!$G$9:$G$108,"ID duplikat")+COUNTIFS(Pembayaran!$B$9:$B$108,A35,Pembayaran!$G$9:$G$108,"Periksa ID proyek")+COUNTIFS(Pembayaran!$B$9:$B$108,A35,Pembayaran!$G$9:$G$108,"Isi ID pembayaran"))=0),"Siap ditutup","Masih terbuka"))))</x:f>
      </x:c>
    </x:row>
    <x:row r="36" ht="25" customHeight="1">
      <x:c r="A36" s="12"/>
      <x:c r="B36" s="12"/>
      <x:c r="C36" s="12"/>
      <x:c r="D36" s="13"/>
      <x:c r="E36" s="5"/>
      <x:c r="F36" s="12"/>
      <x:c r="G36" s="12"/>
      <x:c r="H36" s="12"/>
      <x:c r="I36" s="14"/>
      <x:c r="J36" s="6" t="str">
        <x:f>IF(A36="","",SUMIF(Pembayaran!$B$9:$B$108,A36,Pembayaran!$E$9:$E$108))</x:f>
      </x:c>
      <x:c r="K36" s="6" t="str">
        <x:f>IF(A36="","",IF(D36="","",D36-J36))</x:f>
      </x:c>
      <x:c r="L36" s="2" t="str">
        <x:f>IF(A36="","",IF(COUNTIF($A$9:$A$108,A36)&gt;1,"ID duplikat",IF(OR(B36="",C36="",D36="",D36&lt;=0,E36="",F36="",G36="",H36=""),"Lengkapi input",IF(K36&lt;0,"Lebih bayar",IF(AND(K36&gt;0,E36&lt;Ringkasan!$B$3),"Lewat tenggat","")))))</x:f>
      </x:c>
      <x:c r="M36" s="2" t="str">
        <x:f>IF(A36="","",IF(L36="ID duplikat","Periksa ID",IF(F36="Dibatalkan","Rekonsiliasi",IF(AND(F36="Selesai",G36="Ya",H36="Ya",K36=0,L36="",(COUNTIFS(Pembayaran!$B$9:$B$108,A36,Pembayaran!$G$9:$G$108,"Lengkapi input")+COUNTIFS(Pembayaran!$B$9:$B$108,A36,Pembayaran!$G$9:$G$108,"ID duplikat")+COUNTIFS(Pembayaran!$B$9:$B$108,A36,Pembayaran!$G$9:$G$108,"Periksa ID proyek")+COUNTIFS(Pembayaran!$B$9:$B$108,A36,Pembayaran!$G$9:$G$108,"Isi ID pembayaran"))=0),"Siap ditutup","Masih terbuka"))))</x:f>
      </x:c>
    </x:row>
    <x:row r="37" ht="25" customHeight="1">
      <x:c r="A37" s="12"/>
      <x:c r="B37" s="12"/>
      <x:c r="C37" s="12"/>
      <x:c r="D37" s="13"/>
      <x:c r="E37" s="5"/>
      <x:c r="F37" s="12"/>
      <x:c r="G37" s="12"/>
      <x:c r="H37" s="12"/>
      <x:c r="I37" s="14"/>
      <x:c r="J37" s="6" t="str">
        <x:f>IF(A37="","",SUMIF(Pembayaran!$B$9:$B$108,A37,Pembayaran!$E$9:$E$108))</x:f>
      </x:c>
      <x:c r="K37" s="6" t="str">
        <x:f>IF(A37="","",IF(D37="","",D37-J37))</x:f>
      </x:c>
      <x:c r="L37" s="2" t="str">
        <x:f>IF(A37="","",IF(COUNTIF($A$9:$A$108,A37)&gt;1,"ID duplikat",IF(OR(B37="",C37="",D37="",D37&lt;=0,E37="",F37="",G37="",H37=""),"Lengkapi input",IF(K37&lt;0,"Lebih bayar",IF(AND(K37&gt;0,E37&lt;Ringkasan!$B$3),"Lewat tenggat","")))))</x:f>
      </x:c>
      <x:c r="M37" s="2" t="str">
        <x:f>IF(A37="","",IF(L37="ID duplikat","Periksa ID",IF(F37="Dibatalkan","Rekonsiliasi",IF(AND(F37="Selesai",G37="Ya",H37="Ya",K37=0,L37="",(COUNTIFS(Pembayaran!$B$9:$B$108,A37,Pembayaran!$G$9:$G$108,"Lengkapi input")+COUNTIFS(Pembayaran!$B$9:$B$108,A37,Pembayaran!$G$9:$G$108,"ID duplikat")+COUNTIFS(Pembayaran!$B$9:$B$108,A37,Pembayaran!$G$9:$G$108,"Periksa ID proyek")+COUNTIFS(Pembayaran!$B$9:$B$108,A37,Pembayaran!$G$9:$G$108,"Isi ID pembayaran"))=0),"Siap ditutup","Masih terbuka"))))</x:f>
      </x:c>
    </x:row>
    <x:row r="38" ht="25" customHeight="1">
      <x:c r="A38" s="12"/>
      <x:c r="B38" s="12"/>
      <x:c r="C38" s="12"/>
      <x:c r="D38" s="13"/>
      <x:c r="E38" s="5"/>
      <x:c r="F38" s="12"/>
      <x:c r="G38" s="12"/>
      <x:c r="H38" s="12"/>
      <x:c r="I38" s="14"/>
      <x:c r="J38" s="6" t="str">
        <x:f>IF(A38="","",SUMIF(Pembayaran!$B$9:$B$108,A38,Pembayaran!$E$9:$E$108))</x:f>
      </x:c>
      <x:c r="K38" s="6" t="str">
        <x:f>IF(A38="","",IF(D38="","",D38-J38))</x:f>
      </x:c>
      <x:c r="L38" s="2" t="str">
        <x:f>IF(A38="","",IF(COUNTIF($A$9:$A$108,A38)&gt;1,"ID duplikat",IF(OR(B38="",C38="",D38="",D38&lt;=0,E38="",F38="",G38="",H38=""),"Lengkapi input",IF(K38&lt;0,"Lebih bayar",IF(AND(K38&gt;0,E38&lt;Ringkasan!$B$3),"Lewat tenggat","")))))</x:f>
      </x:c>
      <x:c r="M38" s="2" t="str">
        <x:f>IF(A38="","",IF(L38="ID duplikat","Periksa ID",IF(F38="Dibatalkan","Rekonsiliasi",IF(AND(F38="Selesai",G38="Ya",H38="Ya",K38=0,L38="",(COUNTIFS(Pembayaran!$B$9:$B$108,A38,Pembayaran!$G$9:$G$108,"Lengkapi input")+COUNTIFS(Pembayaran!$B$9:$B$108,A38,Pembayaran!$G$9:$G$108,"ID duplikat")+COUNTIFS(Pembayaran!$B$9:$B$108,A38,Pembayaran!$G$9:$G$108,"Periksa ID proyek")+COUNTIFS(Pembayaran!$B$9:$B$108,A38,Pembayaran!$G$9:$G$108,"Isi ID pembayaran"))=0),"Siap ditutup","Masih terbuka"))))</x:f>
      </x:c>
    </x:row>
    <x:row r="39" ht="25" customHeight="1">
      <x:c r="A39" s="12"/>
      <x:c r="B39" s="12"/>
      <x:c r="C39" s="12"/>
      <x:c r="D39" s="13"/>
      <x:c r="E39" s="5"/>
      <x:c r="F39" s="12"/>
      <x:c r="G39" s="12"/>
      <x:c r="H39" s="12"/>
      <x:c r="I39" s="14"/>
      <x:c r="J39" s="6" t="str">
        <x:f>IF(A39="","",SUMIF(Pembayaran!$B$9:$B$108,A39,Pembayaran!$E$9:$E$108))</x:f>
      </x:c>
      <x:c r="K39" s="6" t="str">
        <x:f>IF(A39="","",IF(D39="","",D39-J39))</x:f>
      </x:c>
      <x:c r="L39" s="2" t="str">
        <x:f>IF(A39="","",IF(COUNTIF($A$9:$A$108,A39)&gt;1,"ID duplikat",IF(OR(B39="",C39="",D39="",D39&lt;=0,E39="",F39="",G39="",H39=""),"Lengkapi input",IF(K39&lt;0,"Lebih bayar",IF(AND(K39&gt;0,E39&lt;Ringkasan!$B$3),"Lewat tenggat","")))))</x:f>
      </x:c>
      <x:c r="M39" s="2" t="str">
        <x:f>IF(A39="","",IF(L39="ID duplikat","Periksa ID",IF(F39="Dibatalkan","Rekonsiliasi",IF(AND(F39="Selesai",G39="Ya",H39="Ya",K39=0,L39="",(COUNTIFS(Pembayaran!$B$9:$B$108,A39,Pembayaran!$G$9:$G$108,"Lengkapi input")+COUNTIFS(Pembayaran!$B$9:$B$108,A39,Pembayaran!$G$9:$G$108,"ID duplikat")+COUNTIFS(Pembayaran!$B$9:$B$108,A39,Pembayaran!$G$9:$G$108,"Periksa ID proyek")+COUNTIFS(Pembayaran!$B$9:$B$108,A39,Pembayaran!$G$9:$G$108,"Isi ID pembayaran"))=0),"Siap ditutup","Masih terbuka"))))</x:f>
      </x:c>
    </x:row>
    <x:row r="40" ht="25" customHeight="1">
      <x:c r="A40" s="12"/>
      <x:c r="B40" s="12"/>
      <x:c r="C40" s="12"/>
      <x:c r="D40" s="13"/>
      <x:c r="E40" s="5"/>
      <x:c r="F40" s="12"/>
      <x:c r="G40" s="12"/>
      <x:c r="H40" s="12"/>
      <x:c r="I40" s="14"/>
      <x:c r="J40" s="6" t="str">
        <x:f>IF(A40="","",SUMIF(Pembayaran!$B$9:$B$108,A40,Pembayaran!$E$9:$E$108))</x:f>
      </x:c>
      <x:c r="K40" s="6" t="str">
        <x:f>IF(A40="","",IF(D40="","",D40-J40))</x:f>
      </x:c>
      <x:c r="L40" s="2" t="str">
        <x:f>IF(A40="","",IF(COUNTIF($A$9:$A$108,A40)&gt;1,"ID duplikat",IF(OR(B40="",C40="",D40="",D40&lt;=0,E40="",F40="",G40="",H40=""),"Lengkapi input",IF(K40&lt;0,"Lebih bayar",IF(AND(K40&gt;0,E40&lt;Ringkasan!$B$3),"Lewat tenggat","")))))</x:f>
      </x:c>
      <x:c r="M40" s="2" t="str">
        <x:f>IF(A40="","",IF(L40="ID duplikat","Periksa ID",IF(F40="Dibatalkan","Rekonsiliasi",IF(AND(F40="Selesai",G40="Ya",H40="Ya",K40=0,L40="",(COUNTIFS(Pembayaran!$B$9:$B$108,A40,Pembayaran!$G$9:$G$108,"Lengkapi input")+COUNTIFS(Pembayaran!$B$9:$B$108,A40,Pembayaran!$G$9:$G$108,"ID duplikat")+COUNTIFS(Pembayaran!$B$9:$B$108,A40,Pembayaran!$G$9:$G$108,"Periksa ID proyek")+COUNTIFS(Pembayaran!$B$9:$B$108,A40,Pembayaran!$G$9:$G$108,"Isi ID pembayaran"))=0),"Siap ditutup","Masih terbuka"))))</x:f>
      </x:c>
    </x:row>
    <x:row r="41" ht="25" customHeight="1">
      <x:c r="A41" s="12"/>
      <x:c r="B41" s="12"/>
      <x:c r="C41" s="12"/>
      <x:c r="D41" s="13"/>
      <x:c r="E41" s="5"/>
      <x:c r="F41" s="12"/>
      <x:c r="G41" s="12"/>
      <x:c r="H41" s="12"/>
      <x:c r="I41" s="14"/>
      <x:c r="J41" s="6" t="str">
        <x:f>IF(A41="","",SUMIF(Pembayaran!$B$9:$B$108,A41,Pembayaran!$E$9:$E$108))</x:f>
      </x:c>
      <x:c r="K41" s="6" t="str">
        <x:f>IF(A41="","",IF(D41="","",D41-J41))</x:f>
      </x:c>
      <x:c r="L41" s="2" t="str">
        <x:f>IF(A41="","",IF(COUNTIF($A$9:$A$108,A41)&gt;1,"ID duplikat",IF(OR(B41="",C41="",D41="",D41&lt;=0,E41="",F41="",G41="",H41=""),"Lengkapi input",IF(K41&lt;0,"Lebih bayar",IF(AND(K41&gt;0,E41&lt;Ringkasan!$B$3),"Lewat tenggat","")))))</x:f>
      </x:c>
      <x:c r="M41" s="2" t="str">
        <x:f>IF(A41="","",IF(L41="ID duplikat","Periksa ID",IF(F41="Dibatalkan","Rekonsiliasi",IF(AND(F41="Selesai",G41="Ya",H41="Ya",K41=0,L41="",(COUNTIFS(Pembayaran!$B$9:$B$108,A41,Pembayaran!$G$9:$G$108,"Lengkapi input")+COUNTIFS(Pembayaran!$B$9:$B$108,A41,Pembayaran!$G$9:$G$108,"ID duplikat")+COUNTIFS(Pembayaran!$B$9:$B$108,A41,Pembayaran!$G$9:$G$108,"Periksa ID proyek")+COUNTIFS(Pembayaran!$B$9:$B$108,A41,Pembayaran!$G$9:$G$108,"Isi ID pembayaran"))=0),"Siap ditutup","Masih terbuka"))))</x:f>
      </x:c>
    </x:row>
    <x:row r="42" ht="25" customHeight="1">
      <x:c r="A42" s="12"/>
      <x:c r="B42" s="12"/>
      <x:c r="C42" s="12"/>
      <x:c r="D42" s="13"/>
      <x:c r="E42" s="5"/>
      <x:c r="F42" s="12"/>
      <x:c r="G42" s="12"/>
      <x:c r="H42" s="12"/>
      <x:c r="I42" s="14"/>
      <x:c r="J42" s="6" t="str">
        <x:f>IF(A42="","",SUMIF(Pembayaran!$B$9:$B$108,A42,Pembayaran!$E$9:$E$108))</x:f>
      </x:c>
      <x:c r="K42" s="6" t="str">
        <x:f>IF(A42="","",IF(D42="","",D42-J42))</x:f>
      </x:c>
      <x:c r="L42" s="2" t="str">
        <x:f>IF(A42="","",IF(COUNTIF($A$9:$A$108,A42)&gt;1,"ID duplikat",IF(OR(B42="",C42="",D42="",D42&lt;=0,E42="",F42="",G42="",H42=""),"Lengkapi input",IF(K42&lt;0,"Lebih bayar",IF(AND(K42&gt;0,E42&lt;Ringkasan!$B$3),"Lewat tenggat","")))))</x:f>
      </x:c>
      <x:c r="M42" s="2" t="str">
        <x:f>IF(A42="","",IF(L42="ID duplikat","Periksa ID",IF(F42="Dibatalkan","Rekonsiliasi",IF(AND(F42="Selesai",G42="Ya",H42="Ya",K42=0,L42="",(COUNTIFS(Pembayaran!$B$9:$B$108,A42,Pembayaran!$G$9:$G$108,"Lengkapi input")+COUNTIFS(Pembayaran!$B$9:$B$108,A42,Pembayaran!$G$9:$G$108,"ID duplikat")+COUNTIFS(Pembayaran!$B$9:$B$108,A42,Pembayaran!$G$9:$G$108,"Periksa ID proyek")+COUNTIFS(Pembayaran!$B$9:$B$108,A42,Pembayaran!$G$9:$G$108,"Isi ID pembayaran"))=0),"Siap ditutup","Masih terbuka"))))</x:f>
      </x:c>
    </x:row>
    <x:row r="43" ht="25" customHeight="1">
      <x:c r="A43" s="12"/>
      <x:c r="B43" s="12"/>
      <x:c r="C43" s="12"/>
      <x:c r="D43" s="13"/>
      <x:c r="E43" s="5"/>
      <x:c r="F43" s="12"/>
      <x:c r="G43" s="12"/>
      <x:c r="H43" s="12"/>
      <x:c r="I43" s="14"/>
      <x:c r="J43" s="6" t="str">
        <x:f>IF(A43="","",SUMIF(Pembayaran!$B$9:$B$108,A43,Pembayaran!$E$9:$E$108))</x:f>
      </x:c>
      <x:c r="K43" s="6" t="str">
        <x:f>IF(A43="","",IF(D43="","",D43-J43))</x:f>
      </x:c>
      <x:c r="L43" s="2" t="str">
        <x:f>IF(A43="","",IF(COUNTIF($A$9:$A$108,A43)&gt;1,"ID duplikat",IF(OR(B43="",C43="",D43="",D43&lt;=0,E43="",F43="",G43="",H43=""),"Lengkapi input",IF(K43&lt;0,"Lebih bayar",IF(AND(K43&gt;0,E43&lt;Ringkasan!$B$3),"Lewat tenggat","")))))</x:f>
      </x:c>
      <x:c r="M43" s="2" t="str">
        <x:f>IF(A43="","",IF(L43="ID duplikat","Periksa ID",IF(F43="Dibatalkan","Rekonsiliasi",IF(AND(F43="Selesai",G43="Ya",H43="Ya",K43=0,L43="",(COUNTIFS(Pembayaran!$B$9:$B$108,A43,Pembayaran!$G$9:$G$108,"Lengkapi input")+COUNTIFS(Pembayaran!$B$9:$B$108,A43,Pembayaran!$G$9:$G$108,"ID duplikat")+COUNTIFS(Pembayaran!$B$9:$B$108,A43,Pembayaran!$G$9:$G$108,"Periksa ID proyek")+COUNTIFS(Pembayaran!$B$9:$B$108,A43,Pembayaran!$G$9:$G$108,"Isi ID pembayaran"))=0),"Siap ditutup","Masih terbuka"))))</x:f>
      </x:c>
    </x:row>
    <x:row r="44" ht="25" customHeight="1">
      <x:c r="A44" s="12"/>
      <x:c r="B44" s="12"/>
      <x:c r="C44" s="12"/>
      <x:c r="D44" s="13"/>
      <x:c r="E44" s="5"/>
      <x:c r="F44" s="12"/>
      <x:c r="G44" s="12"/>
      <x:c r="H44" s="12"/>
      <x:c r="I44" s="14"/>
      <x:c r="J44" s="6" t="str">
        <x:f>IF(A44="","",SUMIF(Pembayaran!$B$9:$B$108,A44,Pembayaran!$E$9:$E$108))</x:f>
      </x:c>
      <x:c r="K44" s="6" t="str">
        <x:f>IF(A44="","",IF(D44="","",D44-J44))</x:f>
      </x:c>
      <x:c r="L44" s="2" t="str">
        <x:f>IF(A44="","",IF(COUNTIF($A$9:$A$108,A44)&gt;1,"ID duplikat",IF(OR(B44="",C44="",D44="",D44&lt;=0,E44="",F44="",G44="",H44=""),"Lengkapi input",IF(K44&lt;0,"Lebih bayar",IF(AND(K44&gt;0,E44&lt;Ringkasan!$B$3),"Lewat tenggat","")))))</x:f>
      </x:c>
      <x:c r="M44" s="2" t="str">
        <x:f>IF(A44="","",IF(L44="ID duplikat","Periksa ID",IF(F44="Dibatalkan","Rekonsiliasi",IF(AND(F44="Selesai",G44="Ya",H44="Ya",K44=0,L44="",(COUNTIFS(Pembayaran!$B$9:$B$108,A44,Pembayaran!$G$9:$G$108,"Lengkapi input")+COUNTIFS(Pembayaran!$B$9:$B$108,A44,Pembayaran!$G$9:$G$108,"ID duplikat")+COUNTIFS(Pembayaran!$B$9:$B$108,A44,Pembayaran!$G$9:$G$108,"Periksa ID proyek")+COUNTIFS(Pembayaran!$B$9:$B$108,A44,Pembayaran!$G$9:$G$108,"Isi ID pembayaran"))=0),"Siap ditutup","Masih terbuka"))))</x:f>
      </x:c>
    </x:row>
    <x:row r="45" ht="25" customHeight="1">
      <x:c r="A45" s="12"/>
      <x:c r="B45" s="12"/>
      <x:c r="C45" s="12"/>
      <x:c r="D45" s="13"/>
      <x:c r="E45" s="5"/>
      <x:c r="F45" s="12"/>
      <x:c r="G45" s="12"/>
      <x:c r="H45" s="12"/>
      <x:c r="I45" s="14"/>
      <x:c r="J45" s="6" t="str">
        <x:f>IF(A45="","",SUMIF(Pembayaran!$B$9:$B$108,A45,Pembayaran!$E$9:$E$108))</x:f>
      </x:c>
      <x:c r="K45" s="6" t="str">
        <x:f>IF(A45="","",IF(D45="","",D45-J45))</x:f>
      </x:c>
      <x:c r="L45" s="2" t="str">
        <x:f>IF(A45="","",IF(COUNTIF($A$9:$A$108,A45)&gt;1,"ID duplikat",IF(OR(B45="",C45="",D45="",D45&lt;=0,E45="",F45="",G45="",H45=""),"Lengkapi input",IF(K45&lt;0,"Lebih bayar",IF(AND(K45&gt;0,E45&lt;Ringkasan!$B$3),"Lewat tenggat","")))))</x:f>
      </x:c>
      <x:c r="M45" s="2" t="str">
        <x:f>IF(A45="","",IF(L45="ID duplikat","Periksa ID",IF(F45="Dibatalkan","Rekonsiliasi",IF(AND(F45="Selesai",G45="Ya",H45="Ya",K45=0,L45="",(COUNTIFS(Pembayaran!$B$9:$B$108,A45,Pembayaran!$G$9:$G$108,"Lengkapi input")+COUNTIFS(Pembayaran!$B$9:$B$108,A45,Pembayaran!$G$9:$G$108,"ID duplikat")+COUNTIFS(Pembayaran!$B$9:$B$108,A45,Pembayaran!$G$9:$G$108,"Periksa ID proyek")+COUNTIFS(Pembayaran!$B$9:$B$108,A45,Pembayaran!$G$9:$G$108,"Isi ID pembayaran"))=0),"Siap ditutup","Masih terbuka"))))</x:f>
      </x:c>
    </x:row>
    <x:row r="46" ht="25" customHeight="1">
      <x:c r="A46" s="12"/>
      <x:c r="B46" s="12"/>
      <x:c r="C46" s="12"/>
      <x:c r="D46" s="13"/>
      <x:c r="E46" s="5"/>
      <x:c r="F46" s="12"/>
      <x:c r="G46" s="12"/>
      <x:c r="H46" s="12"/>
      <x:c r="I46" s="14"/>
      <x:c r="J46" s="6" t="str">
        <x:f>IF(A46="","",SUMIF(Pembayaran!$B$9:$B$108,A46,Pembayaran!$E$9:$E$108))</x:f>
      </x:c>
      <x:c r="K46" s="6" t="str">
        <x:f>IF(A46="","",IF(D46="","",D46-J46))</x:f>
      </x:c>
      <x:c r="L46" s="2" t="str">
        <x:f>IF(A46="","",IF(COUNTIF($A$9:$A$108,A46)&gt;1,"ID duplikat",IF(OR(B46="",C46="",D46="",D46&lt;=0,E46="",F46="",G46="",H46=""),"Lengkapi input",IF(K46&lt;0,"Lebih bayar",IF(AND(K46&gt;0,E46&lt;Ringkasan!$B$3),"Lewat tenggat","")))))</x:f>
      </x:c>
      <x:c r="M46" s="2" t="str">
        <x:f>IF(A46="","",IF(L46="ID duplikat","Periksa ID",IF(F46="Dibatalkan","Rekonsiliasi",IF(AND(F46="Selesai",G46="Ya",H46="Ya",K46=0,L46="",(COUNTIFS(Pembayaran!$B$9:$B$108,A46,Pembayaran!$G$9:$G$108,"Lengkapi input")+COUNTIFS(Pembayaran!$B$9:$B$108,A46,Pembayaran!$G$9:$G$108,"ID duplikat")+COUNTIFS(Pembayaran!$B$9:$B$108,A46,Pembayaran!$G$9:$G$108,"Periksa ID proyek")+COUNTIFS(Pembayaran!$B$9:$B$108,A46,Pembayaran!$G$9:$G$108,"Isi ID pembayaran"))=0),"Siap ditutup","Masih terbuka"))))</x:f>
      </x:c>
    </x:row>
    <x:row r="47" ht="25" customHeight="1">
      <x:c r="A47" s="12"/>
      <x:c r="B47" s="12"/>
      <x:c r="C47" s="12"/>
      <x:c r="D47" s="13"/>
      <x:c r="E47" s="5"/>
      <x:c r="F47" s="12"/>
      <x:c r="G47" s="12"/>
      <x:c r="H47" s="12"/>
      <x:c r="I47" s="14"/>
      <x:c r="J47" s="6" t="str">
        <x:f>IF(A47="","",SUMIF(Pembayaran!$B$9:$B$108,A47,Pembayaran!$E$9:$E$108))</x:f>
      </x:c>
      <x:c r="K47" s="6" t="str">
        <x:f>IF(A47="","",IF(D47="","",D47-J47))</x:f>
      </x:c>
      <x:c r="L47" s="2" t="str">
        <x:f>IF(A47="","",IF(COUNTIF($A$9:$A$108,A47)&gt;1,"ID duplikat",IF(OR(B47="",C47="",D47="",D47&lt;=0,E47="",F47="",G47="",H47=""),"Lengkapi input",IF(K47&lt;0,"Lebih bayar",IF(AND(K47&gt;0,E47&lt;Ringkasan!$B$3),"Lewat tenggat","")))))</x:f>
      </x:c>
      <x:c r="M47" s="2" t="str">
        <x:f>IF(A47="","",IF(L47="ID duplikat","Periksa ID",IF(F47="Dibatalkan","Rekonsiliasi",IF(AND(F47="Selesai",G47="Ya",H47="Ya",K47=0,L47="",(COUNTIFS(Pembayaran!$B$9:$B$108,A47,Pembayaran!$G$9:$G$108,"Lengkapi input")+COUNTIFS(Pembayaran!$B$9:$B$108,A47,Pembayaran!$G$9:$G$108,"ID duplikat")+COUNTIFS(Pembayaran!$B$9:$B$108,A47,Pembayaran!$G$9:$G$108,"Periksa ID proyek")+COUNTIFS(Pembayaran!$B$9:$B$108,A47,Pembayaran!$G$9:$G$108,"Isi ID pembayaran"))=0),"Siap ditutup","Masih terbuka"))))</x:f>
      </x:c>
    </x:row>
    <x:row r="48" ht="25" customHeight="1">
      <x:c r="A48" s="12"/>
      <x:c r="B48" s="12"/>
      <x:c r="C48" s="12"/>
      <x:c r="D48" s="13"/>
      <x:c r="E48" s="5"/>
      <x:c r="F48" s="12"/>
      <x:c r="G48" s="12"/>
      <x:c r="H48" s="12"/>
      <x:c r="I48" s="14"/>
      <x:c r="J48" s="6" t="str">
        <x:f>IF(A48="","",SUMIF(Pembayaran!$B$9:$B$108,A48,Pembayaran!$E$9:$E$108))</x:f>
      </x:c>
      <x:c r="K48" s="6" t="str">
        <x:f>IF(A48="","",IF(D48="","",D48-J48))</x:f>
      </x:c>
      <x:c r="L48" s="2" t="str">
        <x:f>IF(A48="","",IF(COUNTIF($A$9:$A$108,A48)&gt;1,"ID duplikat",IF(OR(B48="",C48="",D48="",D48&lt;=0,E48="",F48="",G48="",H48=""),"Lengkapi input",IF(K48&lt;0,"Lebih bayar",IF(AND(K48&gt;0,E48&lt;Ringkasan!$B$3),"Lewat tenggat","")))))</x:f>
      </x:c>
      <x:c r="M48" s="2" t="str">
        <x:f>IF(A48="","",IF(L48="ID duplikat","Periksa ID",IF(F48="Dibatalkan","Rekonsiliasi",IF(AND(F48="Selesai",G48="Ya",H48="Ya",K48=0,L48="",(COUNTIFS(Pembayaran!$B$9:$B$108,A48,Pembayaran!$G$9:$G$108,"Lengkapi input")+COUNTIFS(Pembayaran!$B$9:$B$108,A48,Pembayaran!$G$9:$G$108,"ID duplikat")+COUNTIFS(Pembayaran!$B$9:$B$108,A48,Pembayaran!$G$9:$G$108,"Periksa ID proyek")+COUNTIFS(Pembayaran!$B$9:$B$108,A48,Pembayaran!$G$9:$G$108,"Isi ID pembayaran"))=0),"Siap ditutup","Masih terbuka"))))</x:f>
      </x:c>
    </x:row>
    <x:row r="49" ht="25" customHeight="1">
      <x:c r="A49" s="12"/>
      <x:c r="B49" s="12"/>
      <x:c r="C49" s="12"/>
      <x:c r="D49" s="13"/>
      <x:c r="E49" s="5"/>
      <x:c r="F49" s="12"/>
      <x:c r="G49" s="12"/>
      <x:c r="H49" s="12"/>
      <x:c r="I49" s="14"/>
      <x:c r="J49" s="6" t="str">
        <x:f>IF(A49="","",SUMIF(Pembayaran!$B$9:$B$108,A49,Pembayaran!$E$9:$E$108))</x:f>
      </x:c>
      <x:c r="K49" s="6" t="str">
        <x:f>IF(A49="","",IF(D49="","",D49-J49))</x:f>
      </x:c>
      <x:c r="L49" s="2" t="str">
        <x:f>IF(A49="","",IF(COUNTIF($A$9:$A$108,A49)&gt;1,"ID duplikat",IF(OR(B49="",C49="",D49="",D49&lt;=0,E49="",F49="",G49="",H49=""),"Lengkapi input",IF(K49&lt;0,"Lebih bayar",IF(AND(K49&gt;0,E49&lt;Ringkasan!$B$3),"Lewat tenggat","")))))</x:f>
      </x:c>
      <x:c r="M49" s="2" t="str">
        <x:f>IF(A49="","",IF(L49="ID duplikat","Periksa ID",IF(F49="Dibatalkan","Rekonsiliasi",IF(AND(F49="Selesai",G49="Ya",H49="Ya",K49=0,L49="",(COUNTIFS(Pembayaran!$B$9:$B$108,A49,Pembayaran!$G$9:$G$108,"Lengkapi input")+COUNTIFS(Pembayaran!$B$9:$B$108,A49,Pembayaran!$G$9:$G$108,"ID duplikat")+COUNTIFS(Pembayaran!$B$9:$B$108,A49,Pembayaran!$G$9:$G$108,"Periksa ID proyek")+COUNTIFS(Pembayaran!$B$9:$B$108,A49,Pembayaran!$G$9:$G$108,"Isi ID pembayaran"))=0),"Siap ditutup","Masih terbuka"))))</x:f>
      </x:c>
    </x:row>
    <x:row r="50" ht="25" customHeight="1">
      <x:c r="A50" s="12"/>
      <x:c r="B50" s="12"/>
      <x:c r="C50" s="12"/>
      <x:c r="D50" s="13"/>
      <x:c r="E50" s="5"/>
      <x:c r="F50" s="12"/>
      <x:c r="G50" s="12"/>
      <x:c r="H50" s="12"/>
      <x:c r="I50" s="14"/>
      <x:c r="J50" s="6" t="str">
        <x:f>IF(A50="","",SUMIF(Pembayaran!$B$9:$B$108,A50,Pembayaran!$E$9:$E$108))</x:f>
      </x:c>
      <x:c r="K50" s="6" t="str">
        <x:f>IF(A50="","",IF(D50="","",D50-J50))</x:f>
      </x:c>
      <x:c r="L50" s="2" t="str">
        <x:f>IF(A50="","",IF(COUNTIF($A$9:$A$108,A50)&gt;1,"ID duplikat",IF(OR(B50="",C50="",D50="",D50&lt;=0,E50="",F50="",G50="",H50=""),"Lengkapi input",IF(K50&lt;0,"Lebih bayar",IF(AND(K50&gt;0,E50&lt;Ringkasan!$B$3),"Lewat tenggat","")))))</x:f>
      </x:c>
      <x:c r="M50" s="2" t="str">
        <x:f>IF(A50="","",IF(L50="ID duplikat","Periksa ID",IF(F50="Dibatalkan","Rekonsiliasi",IF(AND(F50="Selesai",G50="Ya",H50="Ya",K50=0,L50="",(COUNTIFS(Pembayaran!$B$9:$B$108,A50,Pembayaran!$G$9:$G$108,"Lengkapi input")+COUNTIFS(Pembayaran!$B$9:$B$108,A50,Pembayaran!$G$9:$G$108,"ID duplikat")+COUNTIFS(Pembayaran!$B$9:$B$108,A50,Pembayaran!$G$9:$G$108,"Periksa ID proyek")+COUNTIFS(Pembayaran!$B$9:$B$108,A50,Pembayaran!$G$9:$G$108,"Isi ID pembayaran"))=0),"Siap ditutup","Masih terbuka"))))</x:f>
      </x:c>
    </x:row>
    <x:row r="51" ht="25" customHeight="1">
      <x:c r="A51" s="12"/>
      <x:c r="B51" s="12"/>
      <x:c r="C51" s="12"/>
      <x:c r="D51" s="13"/>
      <x:c r="E51" s="5"/>
      <x:c r="F51" s="12"/>
      <x:c r="G51" s="12"/>
      <x:c r="H51" s="12"/>
      <x:c r="I51" s="14"/>
      <x:c r="J51" s="6" t="str">
        <x:f>IF(A51="","",SUMIF(Pembayaran!$B$9:$B$108,A51,Pembayaran!$E$9:$E$108))</x:f>
      </x:c>
      <x:c r="K51" s="6" t="str">
        <x:f>IF(A51="","",IF(D51="","",D51-J51))</x:f>
      </x:c>
      <x:c r="L51" s="2" t="str">
        <x:f>IF(A51="","",IF(COUNTIF($A$9:$A$108,A51)&gt;1,"ID duplikat",IF(OR(B51="",C51="",D51="",D51&lt;=0,E51="",F51="",G51="",H51=""),"Lengkapi input",IF(K51&lt;0,"Lebih bayar",IF(AND(K51&gt;0,E51&lt;Ringkasan!$B$3),"Lewat tenggat","")))))</x:f>
      </x:c>
      <x:c r="M51" s="2" t="str">
        <x:f>IF(A51="","",IF(L51="ID duplikat","Periksa ID",IF(F51="Dibatalkan","Rekonsiliasi",IF(AND(F51="Selesai",G51="Ya",H51="Ya",K51=0,L51="",(COUNTIFS(Pembayaran!$B$9:$B$108,A51,Pembayaran!$G$9:$G$108,"Lengkapi input")+COUNTIFS(Pembayaran!$B$9:$B$108,A51,Pembayaran!$G$9:$G$108,"ID duplikat")+COUNTIFS(Pembayaran!$B$9:$B$108,A51,Pembayaran!$G$9:$G$108,"Periksa ID proyek")+COUNTIFS(Pembayaran!$B$9:$B$108,A51,Pembayaran!$G$9:$G$108,"Isi ID pembayaran"))=0),"Siap ditutup","Masih terbuka"))))</x:f>
      </x:c>
    </x:row>
    <x:row r="52" ht="25" customHeight="1">
      <x:c r="A52" s="12"/>
      <x:c r="B52" s="12"/>
      <x:c r="C52" s="12"/>
      <x:c r="D52" s="13"/>
      <x:c r="E52" s="5"/>
      <x:c r="F52" s="12"/>
      <x:c r="G52" s="12"/>
      <x:c r="H52" s="12"/>
      <x:c r="I52" s="14"/>
      <x:c r="J52" s="6" t="str">
        <x:f>IF(A52="","",SUMIF(Pembayaran!$B$9:$B$108,A52,Pembayaran!$E$9:$E$108))</x:f>
      </x:c>
      <x:c r="K52" s="6" t="str">
        <x:f>IF(A52="","",IF(D52="","",D52-J52))</x:f>
      </x:c>
      <x:c r="L52" s="2" t="str">
        <x:f>IF(A52="","",IF(COUNTIF($A$9:$A$108,A52)&gt;1,"ID duplikat",IF(OR(B52="",C52="",D52="",D52&lt;=0,E52="",F52="",G52="",H52=""),"Lengkapi input",IF(K52&lt;0,"Lebih bayar",IF(AND(K52&gt;0,E52&lt;Ringkasan!$B$3),"Lewat tenggat","")))))</x:f>
      </x:c>
      <x:c r="M52" s="2" t="str">
        <x:f>IF(A52="","",IF(L52="ID duplikat","Periksa ID",IF(F52="Dibatalkan","Rekonsiliasi",IF(AND(F52="Selesai",G52="Ya",H52="Ya",K52=0,L52="",(COUNTIFS(Pembayaran!$B$9:$B$108,A52,Pembayaran!$G$9:$G$108,"Lengkapi input")+COUNTIFS(Pembayaran!$B$9:$B$108,A52,Pembayaran!$G$9:$G$108,"ID duplikat")+COUNTIFS(Pembayaran!$B$9:$B$108,A52,Pembayaran!$G$9:$G$108,"Periksa ID proyek")+COUNTIFS(Pembayaran!$B$9:$B$108,A52,Pembayaran!$G$9:$G$108,"Isi ID pembayaran"))=0),"Siap ditutup","Masih terbuka"))))</x:f>
      </x:c>
    </x:row>
    <x:row r="53" ht="25" customHeight="1">
      <x:c r="A53" s="12"/>
      <x:c r="B53" s="12"/>
      <x:c r="C53" s="12"/>
      <x:c r="D53" s="13"/>
      <x:c r="E53" s="5"/>
      <x:c r="F53" s="12"/>
      <x:c r="G53" s="12"/>
      <x:c r="H53" s="12"/>
      <x:c r="I53" s="14"/>
      <x:c r="J53" s="6" t="str">
        <x:f>IF(A53="","",SUMIF(Pembayaran!$B$9:$B$108,A53,Pembayaran!$E$9:$E$108))</x:f>
      </x:c>
      <x:c r="K53" s="6" t="str">
        <x:f>IF(A53="","",IF(D53="","",D53-J53))</x:f>
      </x:c>
      <x:c r="L53" s="2" t="str">
        <x:f>IF(A53="","",IF(COUNTIF($A$9:$A$108,A53)&gt;1,"ID duplikat",IF(OR(B53="",C53="",D53="",D53&lt;=0,E53="",F53="",G53="",H53=""),"Lengkapi input",IF(K53&lt;0,"Lebih bayar",IF(AND(K53&gt;0,E53&lt;Ringkasan!$B$3),"Lewat tenggat","")))))</x:f>
      </x:c>
      <x:c r="M53" s="2" t="str">
        <x:f>IF(A53="","",IF(L53="ID duplikat","Periksa ID",IF(F53="Dibatalkan","Rekonsiliasi",IF(AND(F53="Selesai",G53="Ya",H53="Ya",K53=0,L53="",(COUNTIFS(Pembayaran!$B$9:$B$108,A53,Pembayaran!$G$9:$G$108,"Lengkapi input")+COUNTIFS(Pembayaran!$B$9:$B$108,A53,Pembayaran!$G$9:$G$108,"ID duplikat")+COUNTIFS(Pembayaran!$B$9:$B$108,A53,Pembayaran!$G$9:$G$108,"Periksa ID proyek")+COUNTIFS(Pembayaran!$B$9:$B$108,A53,Pembayaran!$G$9:$G$108,"Isi ID pembayaran"))=0),"Siap ditutup","Masih terbuka"))))</x:f>
      </x:c>
    </x:row>
    <x:row r="54" ht="25" customHeight="1">
      <x:c r="A54" s="12"/>
      <x:c r="B54" s="12"/>
      <x:c r="C54" s="12"/>
      <x:c r="D54" s="13"/>
      <x:c r="E54" s="5"/>
      <x:c r="F54" s="12"/>
      <x:c r="G54" s="12"/>
      <x:c r="H54" s="12"/>
      <x:c r="I54" s="14"/>
      <x:c r="J54" s="6" t="str">
        <x:f>IF(A54="","",SUMIF(Pembayaran!$B$9:$B$108,A54,Pembayaran!$E$9:$E$108))</x:f>
      </x:c>
      <x:c r="K54" s="6" t="str">
        <x:f>IF(A54="","",IF(D54="","",D54-J54))</x:f>
      </x:c>
      <x:c r="L54" s="2" t="str">
        <x:f>IF(A54="","",IF(COUNTIF($A$9:$A$108,A54)&gt;1,"ID duplikat",IF(OR(B54="",C54="",D54="",D54&lt;=0,E54="",F54="",G54="",H54=""),"Lengkapi input",IF(K54&lt;0,"Lebih bayar",IF(AND(K54&gt;0,E54&lt;Ringkasan!$B$3),"Lewat tenggat","")))))</x:f>
      </x:c>
      <x:c r="M54" s="2" t="str">
        <x:f>IF(A54="","",IF(L54="ID duplikat","Periksa ID",IF(F54="Dibatalkan","Rekonsiliasi",IF(AND(F54="Selesai",G54="Ya",H54="Ya",K54=0,L54="",(COUNTIFS(Pembayaran!$B$9:$B$108,A54,Pembayaran!$G$9:$G$108,"Lengkapi input")+COUNTIFS(Pembayaran!$B$9:$B$108,A54,Pembayaran!$G$9:$G$108,"ID duplikat")+COUNTIFS(Pembayaran!$B$9:$B$108,A54,Pembayaran!$G$9:$G$108,"Periksa ID proyek")+COUNTIFS(Pembayaran!$B$9:$B$108,A54,Pembayaran!$G$9:$G$108,"Isi ID pembayaran"))=0),"Siap ditutup","Masih terbuka"))))</x:f>
      </x:c>
    </x:row>
    <x:row r="55" ht="25" customHeight="1">
      <x:c r="A55" s="12"/>
      <x:c r="B55" s="12"/>
      <x:c r="C55" s="12"/>
      <x:c r="D55" s="13"/>
      <x:c r="E55" s="5"/>
      <x:c r="F55" s="12"/>
      <x:c r="G55" s="12"/>
      <x:c r="H55" s="12"/>
      <x:c r="I55" s="14"/>
      <x:c r="J55" s="6" t="str">
        <x:f>IF(A55="","",SUMIF(Pembayaran!$B$9:$B$108,A55,Pembayaran!$E$9:$E$108))</x:f>
      </x:c>
      <x:c r="K55" s="6" t="str">
        <x:f>IF(A55="","",IF(D55="","",D55-J55))</x:f>
      </x:c>
      <x:c r="L55" s="2" t="str">
        <x:f>IF(A55="","",IF(COUNTIF($A$9:$A$108,A55)&gt;1,"ID duplikat",IF(OR(B55="",C55="",D55="",D55&lt;=0,E55="",F55="",G55="",H55=""),"Lengkapi input",IF(K55&lt;0,"Lebih bayar",IF(AND(K55&gt;0,E55&lt;Ringkasan!$B$3),"Lewat tenggat","")))))</x:f>
      </x:c>
      <x:c r="M55" s="2" t="str">
        <x:f>IF(A55="","",IF(L55="ID duplikat","Periksa ID",IF(F55="Dibatalkan","Rekonsiliasi",IF(AND(F55="Selesai",G55="Ya",H55="Ya",K55=0,L55="",(COUNTIFS(Pembayaran!$B$9:$B$108,A55,Pembayaran!$G$9:$G$108,"Lengkapi input")+COUNTIFS(Pembayaran!$B$9:$B$108,A55,Pembayaran!$G$9:$G$108,"ID duplikat")+COUNTIFS(Pembayaran!$B$9:$B$108,A55,Pembayaran!$G$9:$G$108,"Periksa ID proyek")+COUNTIFS(Pembayaran!$B$9:$B$108,A55,Pembayaran!$G$9:$G$108,"Isi ID pembayaran"))=0),"Siap ditutup","Masih terbuka"))))</x:f>
      </x:c>
    </x:row>
    <x:row r="56" ht="25" customHeight="1">
      <x:c r="A56" s="12"/>
      <x:c r="B56" s="12"/>
      <x:c r="C56" s="12"/>
      <x:c r="D56" s="13"/>
      <x:c r="E56" s="5"/>
      <x:c r="F56" s="12"/>
      <x:c r="G56" s="12"/>
      <x:c r="H56" s="12"/>
      <x:c r="I56" s="14"/>
      <x:c r="J56" s="6" t="str">
        <x:f>IF(A56="","",SUMIF(Pembayaran!$B$9:$B$108,A56,Pembayaran!$E$9:$E$108))</x:f>
      </x:c>
      <x:c r="K56" s="6" t="str">
        <x:f>IF(A56="","",IF(D56="","",D56-J56))</x:f>
      </x:c>
      <x:c r="L56" s="2" t="str">
        <x:f>IF(A56="","",IF(COUNTIF($A$9:$A$108,A56)&gt;1,"ID duplikat",IF(OR(B56="",C56="",D56="",D56&lt;=0,E56="",F56="",G56="",H56=""),"Lengkapi input",IF(K56&lt;0,"Lebih bayar",IF(AND(K56&gt;0,E56&lt;Ringkasan!$B$3),"Lewat tenggat","")))))</x:f>
      </x:c>
      <x:c r="M56" s="2" t="str">
        <x:f>IF(A56="","",IF(L56="ID duplikat","Periksa ID",IF(F56="Dibatalkan","Rekonsiliasi",IF(AND(F56="Selesai",G56="Ya",H56="Ya",K56=0,L56="",(COUNTIFS(Pembayaran!$B$9:$B$108,A56,Pembayaran!$G$9:$G$108,"Lengkapi input")+COUNTIFS(Pembayaran!$B$9:$B$108,A56,Pembayaran!$G$9:$G$108,"ID duplikat")+COUNTIFS(Pembayaran!$B$9:$B$108,A56,Pembayaran!$G$9:$G$108,"Periksa ID proyek")+COUNTIFS(Pembayaran!$B$9:$B$108,A56,Pembayaran!$G$9:$G$108,"Isi ID pembayaran"))=0),"Siap ditutup","Masih terbuka"))))</x:f>
      </x:c>
    </x:row>
    <x:row r="57" ht="25" customHeight="1">
      <x:c r="A57" s="12"/>
      <x:c r="B57" s="12"/>
      <x:c r="C57" s="12"/>
      <x:c r="D57" s="13"/>
      <x:c r="E57" s="5"/>
      <x:c r="F57" s="12"/>
      <x:c r="G57" s="12"/>
      <x:c r="H57" s="12"/>
      <x:c r="I57" s="14"/>
      <x:c r="J57" s="6" t="str">
        <x:f>IF(A57="","",SUMIF(Pembayaran!$B$9:$B$108,A57,Pembayaran!$E$9:$E$108))</x:f>
      </x:c>
      <x:c r="K57" s="6" t="str">
        <x:f>IF(A57="","",IF(D57="","",D57-J57))</x:f>
      </x:c>
      <x:c r="L57" s="2" t="str">
        <x:f>IF(A57="","",IF(COUNTIF($A$9:$A$108,A57)&gt;1,"ID duplikat",IF(OR(B57="",C57="",D57="",D57&lt;=0,E57="",F57="",G57="",H57=""),"Lengkapi input",IF(K57&lt;0,"Lebih bayar",IF(AND(K57&gt;0,E57&lt;Ringkasan!$B$3),"Lewat tenggat","")))))</x:f>
      </x:c>
      <x:c r="M57" s="2" t="str">
        <x:f>IF(A57="","",IF(L57="ID duplikat","Periksa ID",IF(F57="Dibatalkan","Rekonsiliasi",IF(AND(F57="Selesai",G57="Ya",H57="Ya",K57=0,L57="",(COUNTIFS(Pembayaran!$B$9:$B$108,A57,Pembayaran!$G$9:$G$108,"Lengkapi input")+COUNTIFS(Pembayaran!$B$9:$B$108,A57,Pembayaran!$G$9:$G$108,"ID duplikat")+COUNTIFS(Pembayaran!$B$9:$B$108,A57,Pembayaran!$G$9:$G$108,"Periksa ID proyek")+COUNTIFS(Pembayaran!$B$9:$B$108,A57,Pembayaran!$G$9:$G$108,"Isi ID pembayaran"))=0),"Siap ditutup","Masih terbuka"))))</x:f>
      </x:c>
    </x:row>
    <x:row r="58" ht="25" customHeight="1">
      <x:c r="A58" s="12"/>
      <x:c r="B58" s="12"/>
      <x:c r="C58" s="12"/>
      <x:c r="D58" s="13"/>
      <x:c r="E58" s="5"/>
      <x:c r="F58" s="12"/>
      <x:c r="G58" s="12"/>
      <x:c r="H58" s="12"/>
      <x:c r="I58" s="14"/>
      <x:c r="J58" s="6" t="str">
        <x:f>IF(A58="","",SUMIF(Pembayaran!$B$9:$B$108,A58,Pembayaran!$E$9:$E$108))</x:f>
      </x:c>
      <x:c r="K58" s="6" t="str">
        <x:f>IF(A58="","",IF(D58="","",D58-J58))</x:f>
      </x:c>
      <x:c r="L58" s="2" t="str">
        <x:f>IF(A58="","",IF(COUNTIF($A$9:$A$108,A58)&gt;1,"ID duplikat",IF(OR(B58="",C58="",D58="",D58&lt;=0,E58="",F58="",G58="",H58=""),"Lengkapi input",IF(K58&lt;0,"Lebih bayar",IF(AND(K58&gt;0,E58&lt;Ringkasan!$B$3),"Lewat tenggat","")))))</x:f>
      </x:c>
      <x:c r="M58" s="2" t="str">
        <x:f>IF(A58="","",IF(L58="ID duplikat","Periksa ID",IF(F58="Dibatalkan","Rekonsiliasi",IF(AND(F58="Selesai",G58="Ya",H58="Ya",K58=0,L58="",(COUNTIFS(Pembayaran!$B$9:$B$108,A58,Pembayaran!$G$9:$G$108,"Lengkapi input")+COUNTIFS(Pembayaran!$B$9:$B$108,A58,Pembayaran!$G$9:$G$108,"ID duplikat")+COUNTIFS(Pembayaran!$B$9:$B$108,A58,Pembayaran!$G$9:$G$108,"Periksa ID proyek")+COUNTIFS(Pembayaran!$B$9:$B$108,A58,Pembayaran!$G$9:$G$108,"Isi ID pembayaran"))=0),"Siap ditutup","Masih terbuka"))))</x:f>
      </x:c>
    </x:row>
    <x:row r="59" ht="25" customHeight="1">
      <x:c r="A59" s="12"/>
      <x:c r="B59" s="12"/>
      <x:c r="C59" s="12"/>
      <x:c r="D59" s="13"/>
      <x:c r="E59" s="5"/>
      <x:c r="F59" s="12"/>
      <x:c r="G59" s="12"/>
      <x:c r="H59" s="12"/>
      <x:c r="I59" s="14"/>
      <x:c r="J59" s="6" t="str">
        <x:f>IF(A59="","",SUMIF(Pembayaran!$B$9:$B$108,A59,Pembayaran!$E$9:$E$108))</x:f>
      </x:c>
      <x:c r="K59" s="6" t="str">
        <x:f>IF(A59="","",IF(D59="","",D59-J59))</x:f>
      </x:c>
      <x:c r="L59" s="2" t="str">
        <x:f>IF(A59="","",IF(COUNTIF($A$9:$A$108,A59)&gt;1,"ID duplikat",IF(OR(B59="",C59="",D59="",D59&lt;=0,E59="",F59="",G59="",H59=""),"Lengkapi input",IF(K59&lt;0,"Lebih bayar",IF(AND(K59&gt;0,E59&lt;Ringkasan!$B$3),"Lewat tenggat","")))))</x:f>
      </x:c>
      <x:c r="M59" s="2" t="str">
        <x:f>IF(A59="","",IF(L59="ID duplikat","Periksa ID",IF(F59="Dibatalkan","Rekonsiliasi",IF(AND(F59="Selesai",G59="Ya",H59="Ya",K59=0,L59="",(COUNTIFS(Pembayaran!$B$9:$B$108,A59,Pembayaran!$G$9:$G$108,"Lengkapi input")+COUNTIFS(Pembayaran!$B$9:$B$108,A59,Pembayaran!$G$9:$G$108,"ID duplikat")+COUNTIFS(Pembayaran!$B$9:$B$108,A59,Pembayaran!$G$9:$G$108,"Periksa ID proyek")+COUNTIFS(Pembayaran!$B$9:$B$108,A59,Pembayaran!$G$9:$G$108,"Isi ID pembayaran"))=0),"Siap ditutup","Masih terbuka"))))</x:f>
      </x:c>
    </x:row>
    <x:row r="60" ht="25" customHeight="1">
      <x:c r="A60" s="12"/>
      <x:c r="B60" s="12"/>
      <x:c r="C60" s="12"/>
      <x:c r="D60" s="13"/>
      <x:c r="E60" s="5"/>
      <x:c r="F60" s="12"/>
      <x:c r="G60" s="12"/>
      <x:c r="H60" s="12"/>
      <x:c r="I60" s="14"/>
      <x:c r="J60" s="6" t="str">
        <x:f>IF(A60="","",SUMIF(Pembayaran!$B$9:$B$108,A60,Pembayaran!$E$9:$E$108))</x:f>
      </x:c>
      <x:c r="K60" s="6" t="str">
        <x:f>IF(A60="","",IF(D60="","",D60-J60))</x:f>
      </x:c>
      <x:c r="L60" s="2" t="str">
        <x:f>IF(A60="","",IF(COUNTIF($A$9:$A$108,A60)&gt;1,"ID duplikat",IF(OR(B60="",C60="",D60="",D60&lt;=0,E60="",F60="",G60="",H60=""),"Lengkapi input",IF(K60&lt;0,"Lebih bayar",IF(AND(K60&gt;0,E60&lt;Ringkasan!$B$3),"Lewat tenggat","")))))</x:f>
      </x:c>
      <x:c r="M60" s="2" t="str">
        <x:f>IF(A60="","",IF(L60="ID duplikat","Periksa ID",IF(F60="Dibatalkan","Rekonsiliasi",IF(AND(F60="Selesai",G60="Ya",H60="Ya",K60=0,L60="",(COUNTIFS(Pembayaran!$B$9:$B$108,A60,Pembayaran!$G$9:$G$108,"Lengkapi input")+COUNTIFS(Pembayaran!$B$9:$B$108,A60,Pembayaran!$G$9:$G$108,"ID duplikat")+COUNTIFS(Pembayaran!$B$9:$B$108,A60,Pembayaran!$G$9:$G$108,"Periksa ID proyek")+COUNTIFS(Pembayaran!$B$9:$B$108,A60,Pembayaran!$G$9:$G$108,"Isi ID pembayaran"))=0),"Siap ditutup","Masih terbuka"))))</x:f>
      </x:c>
    </x:row>
    <x:row r="61" ht="25" customHeight="1">
      <x:c r="A61" s="12"/>
      <x:c r="B61" s="12"/>
      <x:c r="C61" s="12"/>
      <x:c r="D61" s="13"/>
      <x:c r="E61" s="5"/>
      <x:c r="F61" s="12"/>
      <x:c r="G61" s="12"/>
      <x:c r="H61" s="12"/>
      <x:c r="I61" s="14"/>
      <x:c r="J61" s="6" t="str">
        <x:f>IF(A61="","",SUMIF(Pembayaran!$B$9:$B$108,A61,Pembayaran!$E$9:$E$108))</x:f>
      </x:c>
      <x:c r="K61" s="6" t="str">
        <x:f>IF(A61="","",IF(D61="","",D61-J61))</x:f>
      </x:c>
      <x:c r="L61" s="2" t="str">
        <x:f>IF(A61="","",IF(COUNTIF($A$9:$A$108,A61)&gt;1,"ID duplikat",IF(OR(B61="",C61="",D61="",D61&lt;=0,E61="",F61="",G61="",H61=""),"Lengkapi input",IF(K61&lt;0,"Lebih bayar",IF(AND(K61&gt;0,E61&lt;Ringkasan!$B$3),"Lewat tenggat","")))))</x:f>
      </x:c>
      <x:c r="M61" s="2" t="str">
        <x:f>IF(A61="","",IF(L61="ID duplikat","Periksa ID",IF(F61="Dibatalkan","Rekonsiliasi",IF(AND(F61="Selesai",G61="Ya",H61="Ya",K61=0,L61="",(COUNTIFS(Pembayaran!$B$9:$B$108,A61,Pembayaran!$G$9:$G$108,"Lengkapi input")+COUNTIFS(Pembayaran!$B$9:$B$108,A61,Pembayaran!$G$9:$G$108,"ID duplikat")+COUNTIFS(Pembayaran!$B$9:$B$108,A61,Pembayaran!$G$9:$G$108,"Periksa ID proyek")+COUNTIFS(Pembayaran!$B$9:$B$108,A61,Pembayaran!$G$9:$G$108,"Isi ID pembayaran"))=0),"Siap ditutup","Masih terbuka"))))</x:f>
      </x:c>
    </x:row>
    <x:row r="62" ht="25" customHeight="1">
      <x:c r="A62" s="12"/>
      <x:c r="B62" s="12"/>
      <x:c r="C62" s="12"/>
      <x:c r="D62" s="13"/>
      <x:c r="E62" s="5"/>
      <x:c r="F62" s="12"/>
      <x:c r="G62" s="12"/>
      <x:c r="H62" s="12"/>
      <x:c r="I62" s="14"/>
      <x:c r="J62" s="6" t="str">
        <x:f>IF(A62="","",SUMIF(Pembayaran!$B$9:$B$108,A62,Pembayaran!$E$9:$E$108))</x:f>
      </x:c>
      <x:c r="K62" s="6" t="str">
        <x:f>IF(A62="","",IF(D62="","",D62-J62))</x:f>
      </x:c>
      <x:c r="L62" s="2" t="str">
        <x:f>IF(A62="","",IF(COUNTIF($A$9:$A$108,A62)&gt;1,"ID duplikat",IF(OR(B62="",C62="",D62="",D62&lt;=0,E62="",F62="",G62="",H62=""),"Lengkapi input",IF(K62&lt;0,"Lebih bayar",IF(AND(K62&gt;0,E62&lt;Ringkasan!$B$3),"Lewat tenggat","")))))</x:f>
      </x:c>
      <x:c r="M62" s="2" t="str">
        <x:f>IF(A62="","",IF(L62="ID duplikat","Periksa ID",IF(F62="Dibatalkan","Rekonsiliasi",IF(AND(F62="Selesai",G62="Ya",H62="Ya",K62=0,L62="",(COUNTIFS(Pembayaran!$B$9:$B$108,A62,Pembayaran!$G$9:$G$108,"Lengkapi input")+COUNTIFS(Pembayaran!$B$9:$B$108,A62,Pembayaran!$G$9:$G$108,"ID duplikat")+COUNTIFS(Pembayaran!$B$9:$B$108,A62,Pembayaran!$G$9:$G$108,"Periksa ID proyek")+COUNTIFS(Pembayaran!$B$9:$B$108,A62,Pembayaran!$G$9:$G$108,"Isi ID pembayaran"))=0),"Siap ditutup","Masih terbuka"))))</x:f>
      </x:c>
    </x:row>
    <x:row r="63" ht="25" customHeight="1">
      <x:c r="A63" s="12"/>
      <x:c r="B63" s="12"/>
      <x:c r="C63" s="12"/>
      <x:c r="D63" s="13"/>
      <x:c r="E63" s="5"/>
      <x:c r="F63" s="12"/>
      <x:c r="G63" s="12"/>
      <x:c r="H63" s="12"/>
      <x:c r="I63" s="14"/>
      <x:c r="J63" s="6" t="str">
        <x:f>IF(A63="","",SUMIF(Pembayaran!$B$9:$B$108,A63,Pembayaran!$E$9:$E$108))</x:f>
      </x:c>
      <x:c r="K63" s="6" t="str">
        <x:f>IF(A63="","",IF(D63="","",D63-J63))</x:f>
      </x:c>
      <x:c r="L63" s="2" t="str">
        <x:f>IF(A63="","",IF(COUNTIF($A$9:$A$108,A63)&gt;1,"ID duplikat",IF(OR(B63="",C63="",D63="",D63&lt;=0,E63="",F63="",G63="",H63=""),"Lengkapi input",IF(K63&lt;0,"Lebih bayar",IF(AND(K63&gt;0,E63&lt;Ringkasan!$B$3),"Lewat tenggat","")))))</x:f>
      </x:c>
      <x:c r="M63" s="2" t="str">
        <x:f>IF(A63="","",IF(L63="ID duplikat","Periksa ID",IF(F63="Dibatalkan","Rekonsiliasi",IF(AND(F63="Selesai",G63="Ya",H63="Ya",K63=0,L63="",(COUNTIFS(Pembayaran!$B$9:$B$108,A63,Pembayaran!$G$9:$G$108,"Lengkapi input")+COUNTIFS(Pembayaran!$B$9:$B$108,A63,Pembayaran!$G$9:$G$108,"ID duplikat")+COUNTIFS(Pembayaran!$B$9:$B$108,A63,Pembayaran!$G$9:$G$108,"Periksa ID proyek")+COUNTIFS(Pembayaran!$B$9:$B$108,A63,Pembayaran!$G$9:$G$108,"Isi ID pembayaran"))=0),"Siap ditutup","Masih terbuka"))))</x:f>
      </x:c>
    </x:row>
    <x:row r="64" ht="25" customHeight="1">
      <x:c r="A64" s="12"/>
      <x:c r="B64" s="12"/>
      <x:c r="C64" s="12"/>
      <x:c r="D64" s="13"/>
      <x:c r="E64" s="5"/>
      <x:c r="F64" s="12"/>
      <x:c r="G64" s="12"/>
      <x:c r="H64" s="12"/>
      <x:c r="I64" s="14"/>
      <x:c r="J64" s="6" t="str">
        <x:f>IF(A64="","",SUMIF(Pembayaran!$B$9:$B$108,A64,Pembayaran!$E$9:$E$108))</x:f>
      </x:c>
      <x:c r="K64" s="6" t="str">
        <x:f>IF(A64="","",IF(D64="","",D64-J64))</x:f>
      </x:c>
      <x:c r="L64" s="2" t="str">
        <x:f>IF(A64="","",IF(COUNTIF($A$9:$A$108,A64)&gt;1,"ID duplikat",IF(OR(B64="",C64="",D64="",D64&lt;=0,E64="",F64="",G64="",H64=""),"Lengkapi input",IF(K64&lt;0,"Lebih bayar",IF(AND(K64&gt;0,E64&lt;Ringkasan!$B$3),"Lewat tenggat","")))))</x:f>
      </x:c>
      <x:c r="M64" s="2" t="str">
        <x:f>IF(A64="","",IF(L64="ID duplikat","Periksa ID",IF(F64="Dibatalkan","Rekonsiliasi",IF(AND(F64="Selesai",G64="Ya",H64="Ya",K64=0,L64="",(COUNTIFS(Pembayaran!$B$9:$B$108,A64,Pembayaran!$G$9:$G$108,"Lengkapi input")+COUNTIFS(Pembayaran!$B$9:$B$108,A64,Pembayaran!$G$9:$G$108,"ID duplikat")+COUNTIFS(Pembayaran!$B$9:$B$108,A64,Pembayaran!$G$9:$G$108,"Periksa ID proyek")+COUNTIFS(Pembayaran!$B$9:$B$108,A64,Pembayaran!$G$9:$G$108,"Isi ID pembayaran"))=0),"Siap ditutup","Masih terbuka"))))</x:f>
      </x:c>
    </x:row>
    <x:row r="65" ht="25" customHeight="1">
      <x:c r="A65" s="12"/>
      <x:c r="B65" s="12"/>
      <x:c r="C65" s="12"/>
      <x:c r="D65" s="13"/>
      <x:c r="E65" s="5"/>
      <x:c r="F65" s="12"/>
      <x:c r="G65" s="12"/>
      <x:c r="H65" s="12"/>
      <x:c r="I65" s="14"/>
      <x:c r="J65" s="6" t="str">
        <x:f>IF(A65="","",SUMIF(Pembayaran!$B$9:$B$108,A65,Pembayaran!$E$9:$E$108))</x:f>
      </x:c>
      <x:c r="K65" s="6" t="str">
        <x:f>IF(A65="","",IF(D65="","",D65-J65))</x:f>
      </x:c>
      <x:c r="L65" s="2" t="str">
        <x:f>IF(A65="","",IF(COUNTIF($A$9:$A$108,A65)&gt;1,"ID duplikat",IF(OR(B65="",C65="",D65="",D65&lt;=0,E65="",F65="",G65="",H65=""),"Lengkapi input",IF(K65&lt;0,"Lebih bayar",IF(AND(K65&gt;0,E65&lt;Ringkasan!$B$3),"Lewat tenggat","")))))</x:f>
      </x:c>
      <x:c r="M65" s="2" t="str">
        <x:f>IF(A65="","",IF(L65="ID duplikat","Periksa ID",IF(F65="Dibatalkan","Rekonsiliasi",IF(AND(F65="Selesai",G65="Ya",H65="Ya",K65=0,L65="",(COUNTIFS(Pembayaran!$B$9:$B$108,A65,Pembayaran!$G$9:$G$108,"Lengkapi input")+COUNTIFS(Pembayaran!$B$9:$B$108,A65,Pembayaran!$G$9:$G$108,"ID duplikat")+COUNTIFS(Pembayaran!$B$9:$B$108,A65,Pembayaran!$G$9:$G$108,"Periksa ID proyek")+COUNTIFS(Pembayaran!$B$9:$B$108,A65,Pembayaran!$G$9:$G$108,"Isi ID pembayaran"))=0),"Siap ditutup","Masih terbuka"))))</x:f>
      </x:c>
    </x:row>
    <x:row r="66" ht="25" customHeight="1">
      <x:c r="A66" s="12"/>
      <x:c r="B66" s="12"/>
      <x:c r="C66" s="12"/>
      <x:c r="D66" s="13"/>
      <x:c r="E66" s="5"/>
      <x:c r="F66" s="12"/>
      <x:c r="G66" s="12"/>
      <x:c r="H66" s="12"/>
      <x:c r="I66" s="14"/>
      <x:c r="J66" s="6" t="str">
        <x:f>IF(A66="","",SUMIF(Pembayaran!$B$9:$B$108,A66,Pembayaran!$E$9:$E$108))</x:f>
      </x:c>
      <x:c r="K66" s="6" t="str">
        <x:f>IF(A66="","",IF(D66="","",D66-J66))</x:f>
      </x:c>
      <x:c r="L66" s="2" t="str">
        <x:f>IF(A66="","",IF(COUNTIF($A$9:$A$108,A66)&gt;1,"ID duplikat",IF(OR(B66="",C66="",D66="",D66&lt;=0,E66="",F66="",G66="",H66=""),"Lengkapi input",IF(K66&lt;0,"Lebih bayar",IF(AND(K66&gt;0,E66&lt;Ringkasan!$B$3),"Lewat tenggat","")))))</x:f>
      </x:c>
      <x:c r="M66" s="2" t="str">
        <x:f>IF(A66="","",IF(L66="ID duplikat","Periksa ID",IF(F66="Dibatalkan","Rekonsiliasi",IF(AND(F66="Selesai",G66="Ya",H66="Ya",K66=0,L66="",(COUNTIFS(Pembayaran!$B$9:$B$108,A66,Pembayaran!$G$9:$G$108,"Lengkapi input")+COUNTIFS(Pembayaran!$B$9:$B$108,A66,Pembayaran!$G$9:$G$108,"ID duplikat")+COUNTIFS(Pembayaran!$B$9:$B$108,A66,Pembayaran!$G$9:$G$108,"Periksa ID proyek")+COUNTIFS(Pembayaran!$B$9:$B$108,A66,Pembayaran!$G$9:$G$108,"Isi ID pembayaran"))=0),"Siap ditutup","Masih terbuka"))))</x:f>
      </x:c>
    </x:row>
    <x:row r="67" ht="25" customHeight="1">
      <x:c r="A67" s="12"/>
      <x:c r="B67" s="12"/>
      <x:c r="C67" s="12"/>
      <x:c r="D67" s="13"/>
      <x:c r="E67" s="5"/>
      <x:c r="F67" s="12"/>
      <x:c r="G67" s="12"/>
      <x:c r="H67" s="12"/>
      <x:c r="I67" s="14"/>
      <x:c r="J67" s="6" t="str">
        <x:f>IF(A67="","",SUMIF(Pembayaran!$B$9:$B$108,A67,Pembayaran!$E$9:$E$108))</x:f>
      </x:c>
      <x:c r="K67" s="6" t="str">
        <x:f>IF(A67="","",IF(D67="","",D67-J67))</x:f>
      </x:c>
      <x:c r="L67" s="2" t="str">
        <x:f>IF(A67="","",IF(COUNTIF($A$9:$A$108,A67)&gt;1,"ID duplikat",IF(OR(B67="",C67="",D67="",D67&lt;=0,E67="",F67="",G67="",H67=""),"Lengkapi input",IF(K67&lt;0,"Lebih bayar",IF(AND(K67&gt;0,E67&lt;Ringkasan!$B$3),"Lewat tenggat","")))))</x:f>
      </x:c>
      <x:c r="M67" s="2" t="str">
        <x:f>IF(A67="","",IF(L67="ID duplikat","Periksa ID",IF(F67="Dibatalkan","Rekonsiliasi",IF(AND(F67="Selesai",G67="Ya",H67="Ya",K67=0,L67="",(COUNTIFS(Pembayaran!$B$9:$B$108,A67,Pembayaran!$G$9:$G$108,"Lengkapi input")+COUNTIFS(Pembayaran!$B$9:$B$108,A67,Pembayaran!$G$9:$G$108,"ID duplikat")+COUNTIFS(Pembayaran!$B$9:$B$108,A67,Pembayaran!$G$9:$G$108,"Periksa ID proyek")+COUNTIFS(Pembayaran!$B$9:$B$108,A67,Pembayaran!$G$9:$G$108,"Isi ID pembayaran"))=0),"Siap ditutup","Masih terbuka"))))</x:f>
      </x:c>
    </x:row>
    <x:row r="68" ht="25" customHeight="1">
      <x:c r="A68" s="12"/>
      <x:c r="B68" s="12"/>
      <x:c r="C68" s="12"/>
      <x:c r="D68" s="13"/>
      <x:c r="E68" s="5"/>
      <x:c r="F68" s="12"/>
      <x:c r="G68" s="12"/>
      <x:c r="H68" s="12"/>
      <x:c r="I68" s="14"/>
      <x:c r="J68" s="6" t="str">
        <x:f>IF(A68="","",SUMIF(Pembayaran!$B$9:$B$108,A68,Pembayaran!$E$9:$E$108))</x:f>
      </x:c>
      <x:c r="K68" s="6" t="str">
        <x:f>IF(A68="","",IF(D68="","",D68-J68))</x:f>
      </x:c>
      <x:c r="L68" s="2" t="str">
        <x:f>IF(A68="","",IF(COUNTIF($A$9:$A$108,A68)&gt;1,"ID duplikat",IF(OR(B68="",C68="",D68="",D68&lt;=0,E68="",F68="",G68="",H68=""),"Lengkapi input",IF(K68&lt;0,"Lebih bayar",IF(AND(K68&gt;0,E68&lt;Ringkasan!$B$3),"Lewat tenggat","")))))</x:f>
      </x:c>
      <x:c r="M68" s="2" t="str">
        <x:f>IF(A68="","",IF(L68="ID duplikat","Periksa ID",IF(F68="Dibatalkan","Rekonsiliasi",IF(AND(F68="Selesai",G68="Ya",H68="Ya",K68=0,L68="",(COUNTIFS(Pembayaran!$B$9:$B$108,A68,Pembayaran!$G$9:$G$108,"Lengkapi input")+COUNTIFS(Pembayaran!$B$9:$B$108,A68,Pembayaran!$G$9:$G$108,"ID duplikat")+COUNTIFS(Pembayaran!$B$9:$B$108,A68,Pembayaran!$G$9:$G$108,"Periksa ID proyek")+COUNTIFS(Pembayaran!$B$9:$B$108,A68,Pembayaran!$G$9:$G$108,"Isi ID pembayaran"))=0),"Siap ditutup","Masih terbuka"))))</x:f>
      </x:c>
    </x:row>
    <x:row r="69" ht="25" customHeight="1">
      <x:c r="A69" s="12"/>
      <x:c r="B69" s="12"/>
      <x:c r="C69" s="12"/>
      <x:c r="D69" s="13"/>
      <x:c r="E69" s="5"/>
      <x:c r="F69" s="12"/>
      <x:c r="G69" s="12"/>
      <x:c r="H69" s="12"/>
      <x:c r="I69" s="14"/>
      <x:c r="J69" s="6" t="str">
        <x:f>IF(A69="","",SUMIF(Pembayaran!$B$9:$B$108,A69,Pembayaran!$E$9:$E$108))</x:f>
      </x:c>
      <x:c r="K69" s="6" t="str">
        <x:f>IF(A69="","",IF(D69="","",D69-J69))</x:f>
      </x:c>
      <x:c r="L69" s="2" t="str">
        <x:f>IF(A69="","",IF(COUNTIF($A$9:$A$108,A69)&gt;1,"ID duplikat",IF(OR(B69="",C69="",D69="",D69&lt;=0,E69="",F69="",G69="",H69=""),"Lengkapi input",IF(K69&lt;0,"Lebih bayar",IF(AND(K69&gt;0,E69&lt;Ringkasan!$B$3),"Lewat tenggat","")))))</x:f>
      </x:c>
      <x:c r="M69" s="2" t="str">
        <x:f>IF(A69="","",IF(L69="ID duplikat","Periksa ID",IF(F69="Dibatalkan","Rekonsiliasi",IF(AND(F69="Selesai",G69="Ya",H69="Ya",K69=0,L69="",(COUNTIFS(Pembayaran!$B$9:$B$108,A69,Pembayaran!$G$9:$G$108,"Lengkapi input")+COUNTIFS(Pembayaran!$B$9:$B$108,A69,Pembayaran!$G$9:$G$108,"ID duplikat")+COUNTIFS(Pembayaran!$B$9:$B$108,A69,Pembayaran!$G$9:$G$108,"Periksa ID proyek")+COUNTIFS(Pembayaran!$B$9:$B$108,A69,Pembayaran!$G$9:$G$108,"Isi ID pembayaran"))=0),"Siap ditutup","Masih terbuka"))))</x:f>
      </x:c>
    </x:row>
    <x:row r="70" ht="25" customHeight="1">
      <x:c r="A70" s="12"/>
      <x:c r="B70" s="12"/>
      <x:c r="C70" s="12"/>
      <x:c r="D70" s="13"/>
      <x:c r="E70" s="5"/>
      <x:c r="F70" s="12"/>
      <x:c r="G70" s="12"/>
      <x:c r="H70" s="12"/>
      <x:c r="I70" s="14"/>
      <x:c r="J70" s="6" t="str">
        <x:f>IF(A70="","",SUMIF(Pembayaran!$B$9:$B$108,A70,Pembayaran!$E$9:$E$108))</x:f>
      </x:c>
      <x:c r="K70" s="6" t="str">
        <x:f>IF(A70="","",IF(D70="","",D70-J70))</x:f>
      </x:c>
      <x:c r="L70" s="2" t="str">
        <x:f>IF(A70="","",IF(COUNTIF($A$9:$A$108,A70)&gt;1,"ID duplikat",IF(OR(B70="",C70="",D70="",D70&lt;=0,E70="",F70="",G70="",H70=""),"Lengkapi input",IF(K70&lt;0,"Lebih bayar",IF(AND(K70&gt;0,E70&lt;Ringkasan!$B$3),"Lewat tenggat","")))))</x:f>
      </x:c>
      <x:c r="M70" s="2" t="str">
        <x:f>IF(A70="","",IF(L70="ID duplikat","Periksa ID",IF(F70="Dibatalkan","Rekonsiliasi",IF(AND(F70="Selesai",G70="Ya",H70="Ya",K70=0,L70="",(COUNTIFS(Pembayaran!$B$9:$B$108,A70,Pembayaran!$G$9:$G$108,"Lengkapi input")+COUNTIFS(Pembayaran!$B$9:$B$108,A70,Pembayaran!$G$9:$G$108,"ID duplikat")+COUNTIFS(Pembayaran!$B$9:$B$108,A70,Pembayaran!$G$9:$G$108,"Periksa ID proyek")+COUNTIFS(Pembayaran!$B$9:$B$108,A70,Pembayaran!$G$9:$G$108,"Isi ID pembayaran"))=0),"Siap ditutup","Masih terbuka"))))</x:f>
      </x:c>
    </x:row>
    <x:row r="71" ht="25" customHeight="1">
      <x:c r="A71" s="12"/>
      <x:c r="B71" s="12"/>
      <x:c r="C71" s="12"/>
      <x:c r="D71" s="13"/>
      <x:c r="E71" s="5"/>
      <x:c r="F71" s="12"/>
      <x:c r="G71" s="12"/>
      <x:c r="H71" s="12"/>
      <x:c r="I71" s="14"/>
      <x:c r="J71" s="6" t="str">
        <x:f>IF(A71="","",SUMIF(Pembayaran!$B$9:$B$108,A71,Pembayaran!$E$9:$E$108))</x:f>
      </x:c>
      <x:c r="K71" s="6" t="str">
        <x:f>IF(A71="","",IF(D71="","",D71-J71))</x:f>
      </x:c>
      <x:c r="L71" s="2" t="str">
        <x:f>IF(A71="","",IF(COUNTIF($A$9:$A$108,A71)&gt;1,"ID duplikat",IF(OR(B71="",C71="",D71="",D71&lt;=0,E71="",F71="",G71="",H71=""),"Lengkapi input",IF(K71&lt;0,"Lebih bayar",IF(AND(K71&gt;0,E71&lt;Ringkasan!$B$3),"Lewat tenggat","")))))</x:f>
      </x:c>
      <x:c r="M71" s="2" t="str">
        <x:f>IF(A71="","",IF(L71="ID duplikat","Periksa ID",IF(F71="Dibatalkan","Rekonsiliasi",IF(AND(F71="Selesai",G71="Ya",H71="Ya",K71=0,L71="",(COUNTIFS(Pembayaran!$B$9:$B$108,A71,Pembayaran!$G$9:$G$108,"Lengkapi input")+COUNTIFS(Pembayaran!$B$9:$B$108,A71,Pembayaran!$G$9:$G$108,"ID duplikat")+COUNTIFS(Pembayaran!$B$9:$B$108,A71,Pembayaran!$G$9:$G$108,"Periksa ID proyek")+COUNTIFS(Pembayaran!$B$9:$B$108,A71,Pembayaran!$G$9:$G$108,"Isi ID pembayaran"))=0),"Siap ditutup","Masih terbuka"))))</x:f>
      </x:c>
    </x:row>
    <x:row r="72" ht="25" customHeight="1">
      <x:c r="A72" s="12"/>
      <x:c r="B72" s="12"/>
      <x:c r="C72" s="12"/>
      <x:c r="D72" s="13"/>
      <x:c r="E72" s="5"/>
      <x:c r="F72" s="12"/>
      <x:c r="G72" s="12"/>
      <x:c r="H72" s="12"/>
      <x:c r="I72" s="14"/>
      <x:c r="J72" s="6" t="str">
        <x:f>IF(A72="","",SUMIF(Pembayaran!$B$9:$B$108,A72,Pembayaran!$E$9:$E$108))</x:f>
      </x:c>
      <x:c r="K72" s="6" t="str">
        <x:f>IF(A72="","",IF(D72="","",D72-J72))</x:f>
      </x:c>
      <x:c r="L72" s="2" t="str">
        <x:f>IF(A72="","",IF(COUNTIF($A$9:$A$108,A72)&gt;1,"ID duplikat",IF(OR(B72="",C72="",D72="",D72&lt;=0,E72="",F72="",G72="",H72=""),"Lengkapi input",IF(K72&lt;0,"Lebih bayar",IF(AND(K72&gt;0,E72&lt;Ringkasan!$B$3),"Lewat tenggat","")))))</x:f>
      </x:c>
      <x:c r="M72" s="2" t="str">
        <x:f>IF(A72="","",IF(L72="ID duplikat","Periksa ID",IF(F72="Dibatalkan","Rekonsiliasi",IF(AND(F72="Selesai",G72="Ya",H72="Ya",K72=0,L72="",(COUNTIFS(Pembayaran!$B$9:$B$108,A72,Pembayaran!$G$9:$G$108,"Lengkapi input")+COUNTIFS(Pembayaran!$B$9:$B$108,A72,Pembayaran!$G$9:$G$108,"ID duplikat")+COUNTIFS(Pembayaran!$B$9:$B$108,A72,Pembayaran!$G$9:$G$108,"Periksa ID proyek")+COUNTIFS(Pembayaran!$B$9:$B$108,A72,Pembayaran!$G$9:$G$108,"Isi ID pembayaran"))=0),"Siap ditutup","Masih terbuka"))))</x:f>
      </x:c>
    </x:row>
    <x:row r="73" ht="25" customHeight="1">
      <x:c r="A73" s="12"/>
      <x:c r="B73" s="12"/>
      <x:c r="C73" s="12"/>
      <x:c r="D73" s="13"/>
      <x:c r="E73" s="5"/>
      <x:c r="F73" s="12"/>
      <x:c r="G73" s="12"/>
      <x:c r="H73" s="12"/>
      <x:c r="I73" s="14"/>
      <x:c r="J73" s="6" t="str">
        <x:f>IF(A73="","",SUMIF(Pembayaran!$B$9:$B$108,A73,Pembayaran!$E$9:$E$108))</x:f>
      </x:c>
      <x:c r="K73" s="6" t="str">
        <x:f>IF(A73="","",IF(D73="","",D73-J73))</x:f>
      </x:c>
      <x:c r="L73" s="2" t="str">
        <x:f>IF(A73="","",IF(COUNTIF($A$9:$A$108,A73)&gt;1,"ID duplikat",IF(OR(B73="",C73="",D73="",D73&lt;=0,E73="",F73="",G73="",H73=""),"Lengkapi input",IF(K73&lt;0,"Lebih bayar",IF(AND(K73&gt;0,E73&lt;Ringkasan!$B$3),"Lewat tenggat","")))))</x:f>
      </x:c>
      <x:c r="M73" s="2" t="str">
        <x:f>IF(A73="","",IF(L73="ID duplikat","Periksa ID",IF(F73="Dibatalkan","Rekonsiliasi",IF(AND(F73="Selesai",G73="Ya",H73="Ya",K73=0,L73="",(COUNTIFS(Pembayaran!$B$9:$B$108,A73,Pembayaran!$G$9:$G$108,"Lengkapi input")+COUNTIFS(Pembayaran!$B$9:$B$108,A73,Pembayaran!$G$9:$G$108,"ID duplikat")+COUNTIFS(Pembayaran!$B$9:$B$108,A73,Pembayaran!$G$9:$G$108,"Periksa ID proyek")+COUNTIFS(Pembayaran!$B$9:$B$108,A73,Pembayaran!$G$9:$G$108,"Isi ID pembayaran"))=0),"Siap ditutup","Masih terbuka"))))</x:f>
      </x:c>
    </x:row>
    <x:row r="74" ht="25" customHeight="1">
      <x:c r="A74" s="12"/>
      <x:c r="B74" s="12"/>
      <x:c r="C74" s="12"/>
      <x:c r="D74" s="13"/>
      <x:c r="E74" s="5"/>
      <x:c r="F74" s="12"/>
      <x:c r="G74" s="12"/>
      <x:c r="H74" s="12"/>
      <x:c r="I74" s="14"/>
      <x:c r="J74" s="6" t="str">
        <x:f>IF(A74="","",SUMIF(Pembayaran!$B$9:$B$108,A74,Pembayaran!$E$9:$E$108))</x:f>
      </x:c>
      <x:c r="K74" s="6" t="str">
        <x:f>IF(A74="","",IF(D74="","",D74-J74))</x:f>
      </x:c>
      <x:c r="L74" s="2" t="str">
        <x:f>IF(A74="","",IF(COUNTIF($A$9:$A$108,A74)&gt;1,"ID duplikat",IF(OR(B74="",C74="",D74="",D74&lt;=0,E74="",F74="",G74="",H74=""),"Lengkapi input",IF(K74&lt;0,"Lebih bayar",IF(AND(K74&gt;0,E74&lt;Ringkasan!$B$3),"Lewat tenggat","")))))</x:f>
      </x:c>
      <x:c r="M74" s="2" t="str">
        <x:f>IF(A74="","",IF(L74="ID duplikat","Periksa ID",IF(F74="Dibatalkan","Rekonsiliasi",IF(AND(F74="Selesai",G74="Ya",H74="Ya",K74=0,L74="",(COUNTIFS(Pembayaran!$B$9:$B$108,A74,Pembayaran!$G$9:$G$108,"Lengkapi input")+COUNTIFS(Pembayaran!$B$9:$B$108,A74,Pembayaran!$G$9:$G$108,"ID duplikat")+COUNTIFS(Pembayaran!$B$9:$B$108,A74,Pembayaran!$G$9:$G$108,"Periksa ID proyek")+COUNTIFS(Pembayaran!$B$9:$B$108,A74,Pembayaran!$G$9:$G$108,"Isi ID pembayaran"))=0),"Siap ditutup","Masih terbuka"))))</x:f>
      </x:c>
    </x:row>
    <x:row r="75" ht="25" customHeight="1">
      <x:c r="A75" s="12"/>
      <x:c r="B75" s="12"/>
      <x:c r="C75" s="12"/>
      <x:c r="D75" s="13"/>
      <x:c r="E75" s="5"/>
      <x:c r="F75" s="12"/>
      <x:c r="G75" s="12"/>
      <x:c r="H75" s="12"/>
      <x:c r="I75" s="14"/>
      <x:c r="J75" s="6" t="str">
        <x:f>IF(A75="","",SUMIF(Pembayaran!$B$9:$B$108,A75,Pembayaran!$E$9:$E$108))</x:f>
      </x:c>
      <x:c r="K75" s="6" t="str">
        <x:f>IF(A75="","",IF(D75="","",D75-J75))</x:f>
      </x:c>
      <x:c r="L75" s="2" t="str">
        <x:f>IF(A75="","",IF(COUNTIF($A$9:$A$108,A75)&gt;1,"ID duplikat",IF(OR(B75="",C75="",D75="",D75&lt;=0,E75="",F75="",G75="",H75=""),"Lengkapi input",IF(K75&lt;0,"Lebih bayar",IF(AND(K75&gt;0,E75&lt;Ringkasan!$B$3),"Lewat tenggat","")))))</x:f>
      </x:c>
      <x:c r="M75" s="2" t="str">
        <x:f>IF(A75="","",IF(L75="ID duplikat","Periksa ID",IF(F75="Dibatalkan","Rekonsiliasi",IF(AND(F75="Selesai",G75="Ya",H75="Ya",K75=0,L75="",(COUNTIFS(Pembayaran!$B$9:$B$108,A75,Pembayaran!$G$9:$G$108,"Lengkapi input")+COUNTIFS(Pembayaran!$B$9:$B$108,A75,Pembayaran!$G$9:$G$108,"ID duplikat")+COUNTIFS(Pembayaran!$B$9:$B$108,A75,Pembayaran!$G$9:$G$108,"Periksa ID proyek")+COUNTIFS(Pembayaran!$B$9:$B$108,A75,Pembayaran!$G$9:$G$108,"Isi ID pembayaran"))=0),"Siap ditutup","Masih terbuka"))))</x:f>
      </x:c>
    </x:row>
    <x:row r="76" ht="25" customHeight="1">
      <x:c r="A76" s="12"/>
      <x:c r="B76" s="12"/>
      <x:c r="C76" s="12"/>
      <x:c r="D76" s="13"/>
      <x:c r="E76" s="5"/>
      <x:c r="F76" s="12"/>
      <x:c r="G76" s="12"/>
      <x:c r="H76" s="12"/>
      <x:c r="I76" s="14"/>
      <x:c r="J76" s="6" t="str">
        <x:f>IF(A76="","",SUMIF(Pembayaran!$B$9:$B$108,A76,Pembayaran!$E$9:$E$108))</x:f>
      </x:c>
      <x:c r="K76" s="6" t="str">
        <x:f>IF(A76="","",IF(D76="","",D76-J76))</x:f>
      </x:c>
      <x:c r="L76" s="2" t="str">
        <x:f>IF(A76="","",IF(COUNTIF($A$9:$A$108,A76)&gt;1,"ID duplikat",IF(OR(B76="",C76="",D76="",D76&lt;=0,E76="",F76="",G76="",H76=""),"Lengkapi input",IF(K76&lt;0,"Lebih bayar",IF(AND(K76&gt;0,E76&lt;Ringkasan!$B$3),"Lewat tenggat","")))))</x:f>
      </x:c>
      <x:c r="M76" s="2" t="str">
        <x:f>IF(A76="","",IF(L76="ID duplikat","Periksa ID",IF(F76="Dibatalkan","Rekonsiliasi",IF(AND(F76="Selesai",G76="Ya",H76="Ya",K76=0,L76="",(COUNTIFS(Pembayaran!$B$9:$B$108,A76,Pembayaran!$G$9:$G$108,"Lengkapi input")+COUNTIFS(Pembayaran!$B$9:$B$108,A76,Pembayaran!$G$9:$G$108,"ID duplikat")+COUNTIFS(Pembayaran!$B$9:$B$108,A76,Pembayaran!$G$9:$G$108,"Periksa ID proyek")+COUNTIFS(Pembayaran!$B$9:$B$108,A76,Pembayaran!$G$9:$G$108,"Isi ID pembayaran"))=0),"Siap ditutup","Masih terbuka"))))</x:f>
      </x:c>
    </x:row>
    <x:row r="77" ht="25" customHeight="1">
      <x:c r="A77" s="12"/>
      <x:c r="B77" s="12"/>
      <x:c r="C77" s="12"/>
      <x:c r="D77" s="13"/>
      <x:c r="E77" s="5"/>
      <x:c r="F77" s="12"/>
      <x:c r="G77" s="12"/>
      <x:c r="H77" s="12"/>
      <x:c r="I77" s="14"/>
      <x:c r="J77" s="6" t="str">
        <x:f>IF(A77="","",SUMIF(Pembayaran!$B$9:$B$108,A77,Pembayaran!$E$9:$E$108))</x:f>
      </x:c>
      <x:c r="K77" s="6" t="str">
        <x:f>IF(A77="","",IF(D77="","",D77-J77))</x:f>
      </x:c>
      <x:c r="L77" s="2" t="str">
        <x:f>IF(A77="","",IF(COUNTIF($A$9:$A$108,A77)&gt;1,"ID duplikat",IF(OR(B77="",C77="",D77="",D77&lt;=0,E77="",F77="",G77="",H77=""),"Lengkapi input",IF(K77&lt;0,"Lebih bayar",IF(AND(K77&gt;0,E77&lt;Ringkasan!$B$3),"Lewat tenggat","")))))</x:f>
      </x:c>
      <x:c r="M77" s="2" t="str">
        <x:f>IF(A77="","",IF(L77="ID duplikat","Periksa ID",IF(F77="Dibatalkan","Rekonsiliasi",IF(AND(F77="Selesai",G77="Ya",H77="Ya",K77=0,L77="",(COUNTIFS(Pembayaran!$B$9:$B$108,A77,Pembayaran!$G$9:$G$108,"Lengkapi input")+COUNTIFS(Pembayaran!$B$9:$B$108,A77,Pembayaran!$G$9:$G$108,"ID duplikat")+COUNTIFS(Pembayaran!$B$9:$B$108,A77,Pembayaran!$G$9:$G$108,"Periksa ID proyek")+COUNTIFS(Pembayaran!$B$9:$B$108,A77,Pembayaran!$G$9:$G$108,"Isi ID pembayaran"))=0),"Siap ditutup","Masih terbuka"))))</x:f>
      </x:c>
    </x:row>
    <x:row r="78" ht="25" customHeight="1">
      <x:c r="A78" s="12"/>
      <x:c r="B78" s="12"/>
      <x:c r="C78" s="12"/>
      <x:c r="D78" s="13"/>
      <x:c r="E78" s="5"/>
      <x:c r="F78" s="12"/>
      <x:c r="G78" s="12"/>
      <x:c r="H78" s="12"/>
      <x:c r="I78" s="14"/>
      <x:c r="J78" s="6" t="str">
        <x:f>IF(A78="","",SUMIF(Pembayaran!$B$9:$B$108,A78,Pembayaran!$E$9:$E$108))</x:f>
      </x:c>
      <x:c r="K78" s="6" t="str">
        <x:f>IF(A78="","",IF(D78="","",D78-J78))</x:f>
      </x:c>
      <x:c r="L78" s="2" t="str">
        <x:f>IF(A78="","",IF(COUNTIF($A$9:$A$108,A78)&gt;1,"ID duplikat",IF(OR(B78="",C78="",D78="",D78&lt;=0,E78="",F78="",G78="",H78=""),"Lengkapi input",IF(K78&lt;0,"Lebih bayar",IF(AND(K78&gt;0,E78&lt;Ringkasan!$B$3),"Lewat tenggat","")))))</x:f>
      </x:c>
      <x:c r="M78" s="2" t="str">
        <x:f>IF(A78="","",IF(L78="ID duplikat","Periksa ID",IF(F78="Dibatalkan","Rekonsiliasi",IF(AND(F78="Selesai",G78="Ya",H78="Ya",K78=0,L78="",(COUNTIFS(Pembayaran!$B$9:$B$108,A78,Pembayaran!$G$9:$G$108,"Lengkapi input")+COUNTIFS(Pembayaran!$B$9:$B$108,A78,Pembayaran!$G$9:$G$108,"ID duplikat")+COUNTIFS(Pembayaran!$B$9:$B$108,A78,Pembayaran!$G$9:$G$108,"Periksa ID proyek")+COUNTIFS(Pembayaran!$B$9:$B$108,A78,Pembayaran!$G$9:$G$108,"Isi ID pembayaran"))=0),"Siap ditutup","Masih terbuka"))))</x:f>
      </x:c>
    </x:row>
    <x:row r="79" ht="25" customHeight="1">
      <x:c r="A79" s="12"/>
      <x:c r="B79" s="12"/>
      <x:c r="C79" s="12"/>
      <x:c r="D79" s="13"/>
      <x:c r="E79" s="5"/>
      <x:c r="F79" s="12"/>
      <x:c r="G79" s="12"/>
      <x:c r="H79" s="12"/>
      <x:c r="I79" s="14"/>
      <x:c r="J79" s="6" t="str">
        <x:f>IF(A79="","",SUMIF(Pembayaran!$B$9:$B$108,A79,Pembayaran!$E$9:$E$108))</x:f>
      </x:c>
      <x:c r="K79" s="6" t="str">
        <x:f>IF(A79="","",IF(D79="","",D79-J79))</x:f>
      </x:c>
      <x:c r="L79" s="2" t="str">
        <x:f>IF(A79="","",IF(COUNTIF($A$9:$A$108,A79)&gt;1,"ID duplikat",IF(OR(B79="",C79="",D79="",D79&lt;=0,E79="",F79="",G79="",H79=""),"Lengkapi input",IF(K79&lt;0,"Lebih bayar",IF(AND(K79&gt;0,E79&lt;Ringkasan!$B$3),"Lewat tenggat","")))))</x:f>
      </x:c>
      <x:c r="M79" s="2" t="str">
        <x:f>IF(A79="","",IF(L79="ID duplikat","Periksa ID",IF(F79="Dibatalkan","Rekonsiliasi",IF(AND(F79="Selesai",G79="Ya",H79="Ya",K79=0,L79="",(COUNTIFS(Pembayaran!$B$9:$B$108,A79,Pembayaran!$G$9:$G$108,"Lengkapi input")+COUNTIFS(Pembayaran!$B$9:$B$108,A79,Pembayaran!$G$9:$G$108,"ID duplikat")+COUNTIFS(Pembayaran!$B$9:$B$108,A79,Pembayaran!$G$9:$G$108,"Periksa ID proyek")+COUNTIFS(Pembayaran!$B$9:$B$108,A79,Pembayaran!$G$9:$G$108,"Isi ID pembayaran"))=0),"Siap ditutup","Masih terbuka"))))</x:f>
      </x:c>
    </x:row>
    <x:row r="80" ht="25" customHeight="1">
      <x:c r="A80" s="12"/>
      <x:c r="B80" s="12"/>
      <x:c r="C80" s="12"/>
      <x:c r="D80" s="13"/>
      <x:c r="E80" s="5"/>
      <x:c r="F80" s="12"/>
      <x:c r="G80" s="12"/>
      <x:c r="H80" s="12"/>
      <x:c r="I80" s="14"/>
      <x:c r="J80" s="6" t="str">
        <x:f>IF(A80="","",SUMIF(Pembayaran!$B$9:$B$108,A80,Pembayaran!$E$9:$E$108))</x:f>
      </x:c>
      <x:c r="K80" s="6" t="str">
        <x:f>IF(A80="","",IF(D80="","",D80-J80))</x:f>
      </x:c>
      <x:c r="L80" s="2" t="str">
        <x:f>IF(A80="","",IF(COUNTIF($A$9:$A$108,A80)&gt;1,"ID duplikat",IF(OR(B80="",C80="",D80="",D80&lt;=0,E80="",F80="",G80="",H80=""),"Lengkapi input",IF(K80&lt;0,"Lebih bayar",IF(AND(K80&gt;0,E80&lt;Ringkasan!$B$3),"Lewat tenggat","")))))</x:f>
      </x:c>
      <x:c r="M80" s="2" t="str">
        <x:f>IF(A80="","",IF(L80="ID duplikat","Periksa ID",IF(F80="Dibatalkan","Rekonsiliasi",IF(AND(F80="Selesai",G80="Ya",H80="Ya",K80=0,L80="",(COUNTIFS(Pembayaran!$B$9:$B$108,A80,Pembayaran!$G$9:$G$108,"Lengkapi input")+COUNTIFS(Pembayaran!$B$9:$B$108,A80,Pembayaran!$G$9:$G$108,"ID duplikat")+COUNTIFS(Pembayaran!$B$9:$B$108,A80,Pembayaran!$G$9:$G$108,"Periksa ID proyek")+COUNTIFS(Pembayaran!$B$9:$B$108,A80,Pembayaran!$G$9:$G$108,"Isi ID pembayaran"))=0),"Siap ditutup","Masih terbuka"))))</x:f>
      </x:c>
    </x:row>
    <x:row r="81" ht="25" customHeight="1">
      <x:c r="A81" s="12"/>
      <x:c r="B81" s="12"/>
      <x:c r="C81" s="12"/>
      <x:c r="D81" s="13"/>
      <x:c r="E81" s="5"/>
      <x:c r="F81" s="12"/>
      <x:c r="G81" s="12"/>
      <x:c r="H81" s="12"/>
      <x:c r="I81" s="14"/>
      <x:c r="J81" s="6" t="str">
        <x:f>IF(A81="","",SUMIF(Pembayaran!$B$9:$B$108,A81,Pembayaran!$E$9:$E$108))</x:f>
      </x:c>
      <x:c r="K81" s="6" t="str">
        <x:f>IF(A81="","",IF(D81="","",D81-J81))</x:f>
      </x:c>
      <x:c r="L81" s="2" t="str">
        <x:f>IF(A81="","",IF(COUNTIF($A$9:$A$108,A81)&gt;1,"ID duplikat",IF(OR(B81="",C81="",D81="",D81&lt;=0,E81="",F81="",G81="",H81=""),"Lengkapi input",IF(K81&lt;0,"Lebih bayar",IF(AND(K81&gt;0,E81&lt;Ringkasan!$B$3),"Lewat tenggat","")))))</x:f>
      </x:c>
      <x:c r="M81" s="2" t="str">
        <x:f>IF(A81="","",IF(L81="ID duplikat","Periksa ID",IF(F81="Dibatalkan","Rekonsiliasi",IF(AND(F81="Selesai",G81="Ya",H81="Ya",K81=0,L81="",(COUNTIFS(Pembayaran!$B$9:$B$108,A81,Pembayaran!$G$9:$G$108,"Lengkapi input")+COUNTIFS(Pembayaran!$B$9:$B$108,A81,Pembayaran!$G$9:$G$108,"ID duplikat")+COUNTIFS(Pembayaran!$B$9:$B$108,A81,Pembayaran!$G$9:$G$108,"Periksa ID proyek")+COUNTIFS(Pembayaran!$B$9:$B$108,A81,Pembayaran!$G$9:$G$108,"Isi ID pembayaran"))=0),"Siap ditutup","Masih terbuka"))))</x:f>
      </x:c>
    </x:row>
    <x:row r="82" ht="25" customHeight="1">
      <x:c r="A82" s="12"/>
      <x:c r="B82" s="12"/>
      <x:c r="C82" s="12"/>
      <x:c r="D82" s="13"/>
      <x:c r="E82" s="5"/>
      <x:c r="F82" s="12"/>
      <x:c r="G82" s="12"/>
      <x:c r="H82" s="12"/>
      <x:c r="I82" s="14"/>
      <x:c r="J82" s="6" t="str">
        <x:f>IF(A82="","",SUMIF(Pembayaran!$B$9:$B$108,A82,Pembayaran!$E$9:$E$108))</x:f>
      </x:c>
      <x:c r="K82" s="6" t="str">
        <x:f>IF(A82="","",IF(D82="","",D82-J82))</x:f>
      </x:c>
      <x:c r="L82" s="2" t="str">
        <x:f>IF(A82="","",IF(COUNTIF($A$9:$A$108,A82)&gt;1,"ID duplikat",IF(OR(B82="",C82="",D82="",D82&lt;=0,E82="",F82="",G82="",H82=""),"Lengkapi input",IF(K82&lt;0,"Lebih bayar",IF(AND(K82&gt;0,E82&lt;Ringkasan!$B$3),"Lewat tenggat","")))))</x:f>
      </x:c>
      <x:c r="M82" s="2" t="str">
        <x:f>IF(A82="","",IF(L82="ID duplikat","Periksa ID",IF(F82="Dibatalkan","Rekonsiliasi",IF(AND(F82="Selesai",G82="Ya",H82="Ya",K82=0,L82="",(COUNTIFS(Pembayaran!$B$9:$B$108,A82,Pembayaran!$G$9:$G$108,"Lengkapi input")+COUNTIFS(Pembayaran!$B$9:$B$108,A82,Pembayaran!$G$9:$G$108,"ID duplikat")+COUNTIFS(Pembayaran!$B$9:$B$108,A82,Pembayaran!$G$9:$G$108,"Periksa ID proyek")+COUNTIFS(Pembayaran!$B$9:$B$108,A82,Pembayaran!$G$9:$G$108,"Isi ID pembayaran"))=0),"Siap ditutup","Masih terbuka"))))</x:f>
      </x:c>
    </x:row>
    <x:row r="83" ht="25" customHeight="1">
      <x:c r="A83" s="12"/>
      <x:c r="B83" s="12"/>
      <x:c r="C83" s="12"/>
      <x:c r="D83" s="13"/>
      <x:c r="E83" s="5"/>
      <x:c r="F83" s="12"/>
      <x:c r="G83" s="12"/>
      <x:c r="H83" s="12"/>
      <x:c r="I83" s="14"/>
      <x:c r="J83" s="6" t="str">
        <x:f>IF(A83="","",SUMIF(Pembayaran!$B$9:$B$108,A83,Pembayaran!$E$9:$E$108))</x:f>
      </x:c>
      <x:c r="K83" s="6" t="str">
        <x:f>IF(A83="","",IF(D83="","",D83-J83))</x:f>
      </x:c>
      <x:c r="L83" s="2" t="str">
        <x:f>IF(A83="","",IF(COUNTIF($A$9:$A$108,A83)&gt;1,"ID duplikat",IF(OR(B83="",C83="",D83="",D83&lt;=0,E83="",F83="",G83="",H83=""),"Lengkapi input",IF(K83&lt;0,"Lebih bayar",IF(AND(K83&gt;0,E83&lt;Ringkasan!$B$3),"Lewat tenggat","")))))</x:f>
      </x:c>
      <x:c r="M83" s="2" t="str">
        <x:f>IF(A83="","",IF(L83="ID duplikat","Periksa ID",IF(F83="Dibatalkan","Rekonsiliasi",IF(AND(F83="Selesai",G83="Ya",H83="Ya",K83=0,L83="",(COUNTIFS(Pembayaran!$B$9:$B$108,A83,Pembayaran!$G$9:$G$108,"Lengkapi input")+COUNTIFS(Pembayaran!$B$9:$B$108,A83,Pembayaran!$G$9:$G$108,"ID duplikat")+COUNTIFS(Pembayaran!$B$9:$B$108,A83,Pembayaran!$G$9:$G$108,"Periksa ID proyek")+COUNTIFS(Pembayaran!$B$9:$B$108,A83,Pembayaran!$G$9:$G$108,"Isi ID pembayaran"))=0),"Siap ditutup","Masih terbuka"))))</x:f>
      </x:c>
    </x:row>
    <x:row r="84" ht="25" customHeight="1">
      <x:c r="A84" s="12"/>
      <x:c r="B84" s="12"/>
      <x:c r="C84" s="12"/>
      <x:c r="D84" s="13"/>
      <x:c r="E84" s="5"/>
      <x:c r="F84" s="12"/>
      <x:c r="G84" s="12"/>
      <x:c r="H84" s="12"/>
      <x:c r="I84" s="14"/>
      <x:c r="J84" s="6" t="str">
        <x:f>IF(A84="","",SUMIF(Pembayaran!$B$9:$B$108,A84,Pembayaran!$E$9:$E$108))</x:f>
      </x:c>
      <x:c r="K84" s="6" t="str">
        <x:f>IF(A84="","",IF(D84="","",D84-J84))</x:f>
      </x:c>
      <x:c r="L84" s="2" t="str">
        <x:f>IF(A84="","",IF(COUNTIF($A$9:$A$108,A84)&gt;1,"ID duplikat",IF(OR(B84="",C84="",D84="",D84&lt;=0,E84="",F84="",G84="",H84=""),"Lengkapi input",IF(K84&lt;0,"Lebih bayar",IF(AND(K84&gt;0,E84&lt;Ringkasan!$B$3),"Lewat tenggat","")))))</x:f>
      </x:c>
      <x:c r="M84" s="2" t="str">
        <x:f>IF(A84="","",IF(L84="ID duplikat","Periksa ID",IF(F84="Dibatalkan","Rekonsiliasi",IF(AND(F84="Selesai",G84="Ya",H84="Ya",K84=0,L84="",(COUNTIFS(Pembayaran!$B$9:$B$108,A84,Pembayaran!$G$9:$G$108,"Lengkapi input")+COUNTIFS(Pembayaran!$B$9:$B$108,A84,Pembayaran!$G$9:$G$108,"ID duplikat")+COUNTIFS(Pembayaran!$B$9:$B$108,A84,Pembayaran!$G$9:$G$108,"Periksa ID proyek")+COUNTIFS(Pembayaran!$B$9:$B$108,A84,Pembayaran!$G$9:$G$108,"Isi ID pembayaran"))=0),"Siap ditutup","Masih terbuka"))))</x:f>
      </x:c>
    </x:row>
    <x:row r="85" ht="25" customHeight="1">
      <x:c r="A85" s="12"/>
      <x:c r="B85" s="12"/>
      <x:c r="C85" s="12"/>
      <x:c r="D85" s="13"/>
      <x:c r="E85" s="5"/>
      <x:c r="F85" s="12"/>
      <x:c r="G85" s="12"/>
      <x:c r="H85" s="12"/>
      <x:c r="I85" s="14"/>
      <x:c r="J85" s="6" t="str">
        <x:f>IF(A85="","",SUMIF(Pembayaran!$B$9:$B$108,A85,Pembayaran!$E$9:$E$108))</x:f>
      </x:c>
      <x:c r="K85" s="6" t="str">
        <x:f>IF(A85="","",IF(D85="","",D85-J85))</x:f>
      </x:c>
      <x:c r="L85" s="2" t="str">
        <x:f>IF(A85="","",IF(COUNTIF($A$9:$A$108,A85)&gt;1,"ID duplikat",IF(OR(B85="",C85="",D85="",D85&lt;=0,E85="",F85="",G85="",H85=""),"Lengkapi input",IF(K85&lt;0,"Lebih bayar",IF(AND(K85&gt;0,E85&lt;Ringkasan!$B$3),"Lewat tenggat","")))))</x:f>
      </x:c>
      <x:c r="M85" s="2" t="str">
        <x:f>IF(A85="","",IF(L85="ID duplikat","Periksa ID",IF(F85="Dibatalkan","Rekonsiliasi",IF(AND(F85="Selesai",G85="Ya",H85="Ya",K85=0,L85="",(COUNTIFS(Pembayaran!$B$9:$B$108,A85,Pembayaran!$G$9:$G$108,"Lengkapi input")+COUNTIFS(Pembayaran!$B$9:$B$108,A85,Pembayaran!$G$9:$G$108,"ID duplikat")+COUNTIFS(Pembayaran!$B$9:$B$108,A85,Pembayaran!$G$9:$G$108,"Periksa ID proyek")+COUNTIFS(Pembayaran!$B$9:$B$108,A85,Pembayaran!$G$9:$G$108,"Isi ID pembayaran"))=0),"Siap ditutup","Masih terbuka"))))</x:f>
      </x:c>
    </x:row>
    <x:row r="86" ht="25" customHeight="1">
      <x:c r="A86" s="12"/>
      <x:c r="B86" s="12"/>
      <x:c r="C86" s="12"/>
      <x:c r="D86" s="13"/>
      <x:c r="E86" s="5"/>
      <x:c r="F86" s="12"/>
      <x:c r="G86" s="12"/>
      <x:c r="H86" s="12"/>
      <x:c r="I86" s="14"/>
      <x:c r="J86" s="6" t="str">
        <x:f>IF(A86="","",SUMIF(Pembayaran!$B$9:$B$108,A86,Pembayaran!$E$9:$E$108))</x:f>
      </x:c>
      <x:c r="K86" s="6" t="str">
        <x:f>IF(A86="","",IF(D86="","",D86-J86))</x:f>
      </x:c>
      <x:c r="L86" s="2" t="str">
        <x:f>IF(A86="","",IF(COUNTIF($A$9:$A$108,A86)&gt;1,"ID duplikat",IF(OR(B86="",C86="",D86="",D86&lt;=0,E86="",F86="",G86="",H86=""),"Lengkapi input",IF(K86&lt;0,"Lebih bayar",IF(AND(K86&gt;0,E86&lt;Ringkasan!$B$3),"Lewat tenggat","")))))</x:f>
      </x:c>
      <x:c r="M86" s="2" t="str">
        <x:f>IF(A86="","",IF(L86="ID duplikat","Periksa ID",IF(F86="Dibatalkan","Rekonsiliasi",IF(AND(F86="Selesai",G86="Ya",H86="Ya",K86=0,L86="",(COUNTIFS(Pembayaran!$B$9:$B$108,A86,Pembayaran!$G$9:$G$108,"Lengkapi input")+COUNTIFS(Pembayaran!$B$9:$B$108,A86,Pembayaran!$G$9:$G$108,"ID duplikat")+COUNTIFS(Pembayaran!$B$9:$B$108,A86,Pembayaran!$G$9:$G$108,"Periksa ID proyek")+COUNTIFS(Pembayaran!$B$9:$B$108,A86,Pembayaran!$G$9:$G$108,"Isi ID pembayaran"))=0),"Siap ditutup","Masih terbuka"))))</x:f>
      </x:c>
    </x:row>
    <x:row r="87" ht="25" customHeight="1">
      <x:c r="A87" s="12"/>
      <x:c r="B87" s="12"/>
      <x:c r="C87" s="12"/>
      <x:c r="D87" s="13"/>
      <x:c r="E87" s="5"/>
      <x:c r="F87" s="12"/>
      <x:c r="G87" s="12"/>
      <x:c r="H87" s="12"/>
      <x:c r="I87" s="14"/>
      <x:c r="J87" s="6" t="str">
        <x:f>IF(A87="","",SUMIF(Pembayaran!$B$9:$B$108,A87,Pembayaran!$E$9:$E$108))</x:f>
      </x:c>
      <x:c r="K87" s="6" t="str">
        <x:f>IF(A87="","",IF(D87="","",D87-J87))</x:f>
      </x:c>
      <x:c r="L87" s="2" t="str">
        <x:f>IF(A87="","",IF(COUNTIF($A$9:$A$108,A87)&gt;1,"ID duplikat",IF(OR(B87="",C87="",D87="",D87&lt;=0,E87="",F87="",G87="",H87=""),"Lengkapi input",IF(K87&lt;0,"Lebih bayar",IF(AND(K87&gt;0,E87&lt;Ringkasan!$B$3),"Lewat tenggat","")))))</x:f>
      </x:c>
      <x:c r="M87" s="2" t="str">
        <x:f>IF(A87="","",IF(L87="ID duplikat","Periksa ID",IF(F87="Dibatalkan","Rekonsiliasi",IF(AND(F87="Selesai",G87="Ya",H87="Ya",K87=0,L87="",(COUNTIFS(Pembayaran!$B$9:$B$108,A87,Pembayaran!$G$9:$G$108,"Lengkapi input")+COUNTIFS(Pembayaran!$B$9:$B$108,A87,Pembayaran!$G$9:$G$108,"ID duplikat")+COUNTIFS(Pembayaran!$B$9:$B$108,A87,Pembayaran!$G$9:$G$108,"Periksa ID proyek")+COUNTIFS(Pembayaran!$B$9:$B$108,A87,Pembayaran!$G$9:$G$108,"Isi ID pembayaran"))=0),"Siap ditutup","Masih terbuka"))))</x:f>
      </x:c>
    </x:row>
    <x:row r="88" ht="25" customHeight="1">
      <x:c r="A88" s="12"/>
      <x:c r="B88" s="12"/>
      <x:c r="C88" s="12"/>
      <x:c r="D88" s="13"/>
      <x:c r="E88" s="5"/>
      <x:c r="F88" s="12"/>
      <x:c r="G88" s="12"/>
      <x:c r="H88" s="12"/>
      <x:c r="I88" s="14"/>
      <x:c r="J88" s="6" t="str">
        <x:f>IF(A88="","",SUMIF(Pembayaran!$B$9:$B$108,A88,Pembayaran!$E$9:$E$108))</x:f>
      </x:c>
      <x:c r="K88" s="6" t="str">
        <x:f>IF(A88="","",IF(D88="","",D88-J88))</x:f>
      </x:c>
      <x:c r="L88" s="2" t="str">
        <x:f>IF(A88="","",IF(COUNTIF($A$9:$A$108,A88)&gt;1,"ID duplikat",IF(OR(B88="",C88="",D88="",D88&lt;=0,E88="",F88="",G88="",H88=""),"Lengkapi input",IF(K88&lt;0,"Lebih bayar",IF(AND(K88&gt;0,E88&lt;Ringkasan!$B$3),"Lewat tenggat","")))))</x:f>
      </x:c>
      <x:c r="M88" s="2" t="str">
        <x:f>IF(A88="","",IF(L88="ID duplikat","Periksa ID",IF(F88="Dibatalkan","Rekonsiliasi",IF(AND(F88="Selesai",G88="Ya",H88="Ya",K88=0,L88="",(COUNTIFS(Pembayaran!$B$9:$B$108,A88,Pembayaran!$G$9:$G$108,"Lengkapi input")+COUNTIFS(Pembayaran!$B$9:$B$108,A88,Pembayaran!$G$9:$G$108,"ID duplikat")+COUNTIFS(Pembayaran!$B$9:$B$108,A88,Pembayaran!$G$9:$G$108,"Periksa ID proyek")+COUNTIFS(Pembayaran!$B$9:$B$108,A88,Pembayaran!$G$9:$G$108,"Isi ID pembayaran"))=0),"Siap ditutup","Masih terbuka"))))</x:f>
      </x:c>
    </x:row>
    <x:row r="89" ht="25" customHeight="1">
      <x:c r="A89" s="12"/>
      <x:c r="B89" s="12"/>
      <x:c r="C89" s="12"/>
      <x:c r="D89" s="13"/>
      <x:c r="E89" s="5"/>
      <x:c r="F89" s="12"/>
      <x:c r="G89" s="12"/>
      <x:c r="H89" s="12"/>
      <x:c r="I89" s="14"/>
      <x:c r="J89" s="6" t="str">
        <x:f>IF(A89="","",SUMIF(Pembayaran!$B$9:$B$108,A89,Pembayaran!$E$9:$E$108))</x:f>
      </x:c>
      <x:c r="K89" s="6" t="str">
        <x:f>IF(A89="","",IF(D89="","",D89-J89))</x:f>
      </x:c>
      <x:c r="L89" s="2" t="str">
        <x:f>IF(A89="","",IF(COUNTIF($A$9:$A$108,A89)&gt;1,"ID duplikat",IF(OR(B89="",C89="",D89="",D89&lt;=0,E89="",F89="",G89="",H89=""),"Lengkapi input",IF(K89&lt;0,"Lebih bayar",IF(AND(K89&gt;0,E89&lt;Ringkasan!$B$3),"Lewat tenggat","")))))</x:f>
      </x:c>
      <x:c r="M89" s="2" t="str">
        <x:f>IF(A89="","",IF(L89="ID duplikat","Periksa ID",IF(F89="Dibatalkan","Rekonsiliasi",IF(AND(F89="Selesai",G89="Ya",H89="Ya",K89=0,L89="",(COUNTIFS(Pembayaran!$B$9:$B$108,A89,Pembayaran!$G$9:$G$108,"Lengkapi input")+COUNTIFS(Pembayaran!$B$9:$B$108,A89,Pembayaran!$G$9:$G$108,"ID duplikat")+COUNTIFS(Pembayaran!$B$9:$B$108,A89,Pembayaran!$G$9:$G$108,"Periksa ID proyek")+COUNTIFS(Pembayaran!$B$9:$B$108,A89,Pembayaran!$G$9:$G$108,"Isi ID pembayaran"))=0),"Siap ditutup","Masih terbuka"))))</x:f>
      </x:c>
    </x:row>
    <x:row r="90" ht="25" customHeight="1">
      <x:c r="A90" s="12"/>
      <x:c r="B90" s="12"/>
      <x:c r="C90" s="12"/>
      <x:c r="D90" s="13"/>
      <x:c r="E90" s="5"/>
      <x:c r="F90" s="12"/>
      <x:c r="G90" s="12"/>
      <x:c r="H90" s="12"/>
      <x:c r="I90" s="14"/>
      <x:c r="J90" s="6" t="str">
        <x:f>IF(A90="","",SUMIF(Pembayaran!$B$9:$B$108,A90,Pembayaran!$E$9:$E$108))</x:f>
      </x:c>
      <x:c r="K90" s="6" t="str">
        <x:f>IF(A90="","",IF(D90="","",D90-J90))</x:f>
      </x:c>
      <x:c r="L90" s="2" t="str">
        <x:f>IF(A90="","",IF(COUNTIF($A$9:$A$108,A90)&gt;1,"ID duplikat",IF(OR(B90="",C90="",D90="",D90&lt;=0,E90="",F90="",G90="",H90=""),"Lengkapi input",IF(K90&lt;0,"Lebih bayar",IF(AND(K90&gt;0,E90&lt;Ringkasan!$B$3),"Lewat tenggat","")))))</x:f>
      </x:c>
      <x:c r="M90" s="2" t="str">
        <x:f>IF(A90="","",IF(L90="ID duplikat","Periksa ID",IF(F90="Dibatalkan","Rekonsiliasi",IF(AND(F90="Selesai",G90="Ya",H90="Ya",K90=0,L90="",(COUNTIFS(Pembayaran!$B$9:$B$108,A90,Pembayaran!$G$9:$G$108,"Lengkapi input")+COUNTIFS(Pembayaran!$B$9:$B$108,A90,Pembayaran!$G$9:$G$108,"ID duplikat")+COUNTIFS(Pembayaran!$B$9:$B$108,A90,Pembayaran!$G$9:$G$108,"Periksa ID proyek")+COUNTIFS(Pembayaran!$B$9:$B$108,A90,Pembayaran!$G$9:$G$108,"Isi ID pembayaran"))=0),"Siap ditutup","Masih terbuka"))))</x:f>
      </x:c>
    </x:row>
    <x:row r="91" ht="25" customHeight="1">
      <x:c r="A91" s="12"/>
      <x:c r="B91" s="12"/>
      <x:c r="C91" s="12"/>
      <x:c r="D91" s="13"/>
      <x:c r="E91" s="5"/>
      <x:c r="F91" s="12"/>
      <x:c r="G91" s="12"/>
      <x:c r="H91" s="12"/>
      <x:c r="I91" s="14"/>
      <x:c r="J91" s="6" t="str">
        <x:f>IF(A91="","",SUMIF(Pembayaran!$B$9:$B$108,A91,Pembayaran!$E$9:$E$108))</x:f>
      </x:c>
      <x:c r="K91" s="6" t="str">
        <x:f>IF(A91="","",IF(D91="","",D91-J91))</x:f>
      </x:c>
      <x:c r="L91" s="2" t="str">
        <x:f>IF(A91="","",IF(COUNTIF($A$9:$A$108,A91)&gt;1,"ID duplikat",IF(OR(B91="",C91="",D91="",D91&lt;=0,E91="",F91="",G91="",H91=""),"Lengkapi input",IF(K91&lt;0,"Lebih bayar",IF(AND(K91&gt;0,E91&lt;Ringkasan!$B$3),"Lewat tenggat","")))))</x:f>
      </x:c>
      <x:c r="M91" s="2" t="str">
        <x:f>IF(A91="","",IF(L91="ID duplikat","Periksa ID",IF(F91="Dibatalkan","Rekonsiliasi",IF(AND(F91="Selesai",G91="Ya",H91="Ya",K91=0,L91="",(COUNTIFS(Pembayaran!$B$9:$B$108,A91,Pembayaran!$G$9:$G$108,"Lengkapi input")+COUNTIFS(Pembayaran!$B$9:$B$108,A91,Pembayaran!$G$9:$G$108,"ID duplikat")+COUNTIFS(Pembayaran!$B$9:$B$108,A91,Pembayaran!$G$9:$G$108,"Periksa ID proyek")+COUNTIFS(Pembayaran!$B$9:$B$108,A91,Pembayaran!$G$9:$G$108,"Isi ID pembayaran"))=0),"Siap ditutup","Masih terbuka"))))</x:f>
      </x:c>
    </x:row>
    <x:row r="92" ht="25" customHeight="1">
      <x:c r="A92" s="12"/>
      <x:c r="B92" s="12"/>
      <x:c r="C92" s="12"/>
      <x:c r="D92" s="13"/>
      <x:c r="E92" s="5"/>
      <x:c r="F92" s="12"/>
      <x:c r="G92" s="12"/>
      <x:c r="H92" s="12"/>
      <x:c r="I92" s="14"/>
      <x:c r="J92" s="6" t="str">
        <x:f>IF(A92="","",SUMIF(Pembayaran!$B$9:$B$108,A92,Pembayaran!$E$9:$E$108))</x:f>
      </x:c>
      <x:c r="K92" s="6" t="str">
        <x:f>IF(A92="","",IF(D92="","",D92-J92))</x:f>
      </x:c>
      <x:c r="L92" s="2" t="str">
        <x:f>IF(A92="","",IF(COUNTIF($A$9:$A$108,A92)&gt;1,"ID duplikat",IF(OR(B92="",C92="",D92="",D92&lt;=0,E92="",F92="",G92="",H92=""),"Lengkapi input",IF(K92&lt;0,"Lebih bayar",IF(AND(K92&gt;0,E92&lt;Ringkasan!$B$3),"Lewat tenggat","")))))</x:f>
      </x:c>
      <x:c r="M92" s="2" t="str">
        <x:f>IF(A92="","",IF(L92="ID duplikat","Periksa ID",IF(F92="Dibatalkan","Rekonsiliasi",IF(AND(F92="Selesai",G92="Ya",H92="Ya",K92=0,L92="",(COUNTIFS(Pembayaran!$B$9:$B$108,A92,Pembayaran!$G$9:$G$108,"Lengkapi input")+COUNTIFS(Pembayaran!$B$9:$B$108,A92,Pembayaran!$G$9:$G$108,"ID duplikat")+COUNTIFS(Pembayaran!$B$9:$B$108,A92,Pembayaran!$G$9:$G$108,"Periksa ID proyek")+COUNTIFS(Pembayaran!$B$9:$B$108,A92,Pembayaran!$G$9:$G$108,"Isi ID pembayaran"))=0),"Siap ditutup","Masih terbuka"))))</x:f>
      </x:c>
    </x:row>
    <x:row r="93" ht="25" customHeight="1">
      <x:c r="A93" s="12"/>
      <x:c r="B93" s="12"/>
      <x:c r="C93" s="12"/>
      <x:c r="D93" s="13"/>
      <x:c r="E93" s="5"/>
      <x:c r="F93" s="12"/>
      <x:c r="G93" s="12"/>
      <x:c r="H93" s="12"/>
      <x:c r="I93" s="14"/>
      <x:c r="J93" s="6" t="str">
        <x:f>IF(A93="","",SUMIF(Pembayaran!$B$9:$B$108,A93,Pembayaran!$E$9:$E$108))</x:f>
      </x:c>
      <x:c r="K93" s="6" t="str">
        <x:f>IF(A93="","",IF(D93="","",D93-J93))</x:f>
      </x:c>
      <x:c r="L93" s="2" t="str">
        <x:f>IF(A93="","",IF(COUNTIF($A$9:$A$108,A93)&gt;1,"ID duplikat",IF(OR(B93="",C93="",D93="",D93&lt;=0,E93="",F93="",G93="",H93=""),"Lengkapi input",IF(K93&lt;0,"Lebih bayar",IF(AND(K93&gt;0,E93&lt;Ringkasan!$B$3),"Lewat tenggat","")))))</x:f>
      </x:c>
      <x:c r="M93" s="2" t="str">
        <x:f>IF(A93="","",IF(L93="ID duplikat","Periksa ID",IF(F93="Dibatalkan","Rekonsiliasi",IF(AND(F93="Selesai",G93="Ya",H93="Ya",K93=0,L93="",(COUNTIFS(Pembayaran!$B$9:$B$108,A93,Pembayaran!$G$9:$G$108,"Lengkapi input")+COUNTIFS(Pembayaran!$B$9:$B$108,A93,Pembayaran!$G$9:$G$108,"ID duplikat")+COUNTIFS(Pembayaran!$B$9:$B$108,A93,Pembayaran!$G$9:$G$108,"Periksa ID proyek")+COUNTIFS(Pembayaran!$B$9:$B$108,A93,Pembayaran!$G$9:$G$108,"Isi ID pembayaran"))=0),"Siap ditutup","Masih terbuka"))))</x:f>
      </x:c>
    </x:row>
    <x:row r="94" ht="25" customHeight="1">
      <x:c r="A94" s="12"/>
      <x:c r="B94" s="12"/>
      <x:c r="C94" s="12"/>
      <x:c r="D94" s="13"/>
      <x:c r="E94" s="5"/>
      <x:c r="F94" s="12"/>
      <x:c r="G94" s="12"/>
      <x:c r="H94" s="12"/>
      <x:c r="I94" s="14"/>
      <x:c r="J94" s="6" t="str">
        <x:f>IF(A94="","",SUMIF(Pembayaran!$B$9:$B$108,A94,Pembayaran!$E$9:$E$108))</x:f>
      </x:c>
      <x:c r="K94" s="6" t="str">
        <x:f>IF(A94="","",IF(D94="","",D94-J94))</x:f>
      </x:c>
      <x:c r="L94" s="2" t="str">
        <x:f>IF(A94="","",IF(COUNTIF($A$9:$A$108,A94)&gt;1,"ID duplikat",IF(OR(B94="",C94="",D94="",D94&lt;=0,E94="",F94="",G94="",H94=""),"Lengkapi input",IF(K94&lt;0,"Lebih bayar",IF(AND(K94&gt;0,E94&lt;Ringkasan!$B$3),"Lewat tenggat","")))))</x:f>
      </x:c>
      <x:c r="M94" s="2" t="str">
        <x:f>IF(A94="","",IF(L94="ID duplikat","Periksa ID",IF(F94="Dibatalkan","Rekonsiliasi",IF(AND(F94="Selesai",G94="Ya",H94="Ya",K94=0,L94="",(COUNTIFS(Pembayaran!$B$9:$B$108,A94,Pembayaran!$G$9:$G$108,"Lengkapi input")+COUNTIFS(Pembayaran!$B$9:$B$108,A94,Pembayaran!$G$9:$G$108,"ID duplikat")+COUNTIFS(Pembayaran!$B$9:$B$108,A94,Pembayaran!$G$9:$G$108,"Periksa ID proyek")+COUNTIFS(Pembayaran!$B$9:$B$108,A94,Pembayaran!$G$9:$G$108,"Isi ID pembayaran"))=0),"Siap ditutup","Masih terbuka"))))</x:f>
      </x:c>
    </x:row>
    <x:row r="95" ht="25" customHeight="1">
      <x:c r="A95" s="12"/>
      <x:c r="B95" s="12"/>
      <x:c r="C95" s="12"/>
      <x:c r="D95" s="13"/>
      <x:c r="E95" s="5"/>
      <x:c r="F95" s="12"/>
      <x:c r="G95" s="12"/>
      <x:c r="H95" s="12"/>
      <x:c r="I95" s="14"/>
      <x:c r="J95" s="6" t="str">
        <x:f>IF(A95="","",SUMIF(Pembayaran!$B$9:$B$108,A95,Pembayaran!$E$9:$E$108))</x:f>
      </x:c>
      <x:c r="K95" s="6" t="str">
        <x:f>IF(A95="","",IF(D95="","",D95-J95))</x:f>
      </x:c>
      <x:c r="L95" s="2" t="str">
        <x:f>IF(A95="","",IF(COUNTIF($A$9:$A$108,A95)&gt;1,"ID duplikat",IF(OR(B95="",C95="",D95="",D95&lt;=0,E95="",F95="",G95="",H95=""),"Lengkapi input",IF(K95&lt;0,"Lebih bayar",IF(AND(K95&gt;0,E95&lt;Ringkasan!$B$3),"Lewat tenggat","")))))</x:f>
      </x:c>
      <x:c r="M95" s="2" t="str">
        <x:f>IF(A95="","",IF(L95="ID duplikat","Periksa ID",IF(F95="Dibatalkan","Rekonsiliasi",IF(AND(F95="Selesai",G95="Ya",H95="Ya",K95=0,L95="",(COUNTIFS(Pembayaran!$B$9:$B$108,A95,Pembayaran!$G$9:$G$108,"Lengkapi input")+COUNTIFS(Pembayaran!$B$9:$B$108,A95,Pembayaran!$G$9:$G$108,"ID duplikat")+COUNTIFS(Pembayaran!$B$9:$B$108,A95,Pembayaran!$G$9:$G$108,"Periksa ID proyek")+COUNTIFS(Pembayaran!$B$9:$B$108,A95,Pembayaran!$G$9:$G$108,"Isi ID pembayaran"))=0),"Siap ditutup","Masih terbuka"))))</x:f>
      </x:c>
    </x:row>
    <x:row r="96" ht="25" customHeight="1">
      <x:c r="A96" s="12"/>
      <x:c r="B96" s="12"/>
      <x:c r="C96" s="12"/>
      <x:c r="D96" s="13"/>
      <x:c r="E96" s="5"/>
      <x:c r="F96" s="12"/>
      <x:c r="G96" s="12"/>
      <x:c r="H96" s="12"/>
      <x:c r="I96" s="14"/>
      <x:c r="J96" s="6" t="str">
        <x:f>IF(A96="","",SUMIF(Pembayaran!$B$9:$B$108,A96,Pembayaran!$E$9:$E$108))</x:f>
      </x:c>
      <x:c r="K96" s="6" t="str">
        <x:f>IF(A96="","",IF(D96="","",D96-J96))</x:f>
      </x:c>
      <x:c r="L96" s="2" t="str">
        <x:f>IF(A96="","",IF(COUNTIF($A$9:$A$108,A96)&gt;1,"ID duplikat",IF(OR(B96="",C96="",D96="",D96&lt;=0,E96="",F96="",G96="",H96=""),"Lengkapi input",IF(K96&lt;0,"Lebih bayar",IF(AND(K96&gt;0,E96&lt;Ringkasan!$B$3),"Lewat tenggat","")))))</x:f>
      </x:c>
      <x:c r="M96" s="2" t="str">
        <x:f>IF(A96="","",IF(L96="ID duplikat","Periksa ID",IF(F96="Dibatalkan","Rekonsiliasi",IF(AND(F96="Selesai",G96="Ya",H96="Ya",K96=0,L96="",(COUNTIFS(Pembayaran!$B$9:$B$108,A96,Pembayaran!$G$9:$G$108,"Lengkapi input")+COUNTIFS(Pembayaran!$B$9:$B$108,A96,Pembayaran!$G$9:$G$108,"ID duplikat")+COUNTIFS(Pembayaran!$B$9:$B$108,A96,Pembayaran!$G$9:$G$108,"Periksa ID proyek")+COUNTIFS(Pembayaran!$B$9:$B$108,A96,Pembayaran!$G$9:$G$108,"Isi ID pembayaran"))=0),"Siap ditutup","Masih terbuka"))))</x:f>
      </x:c>
    </x:row>
    <x:row r="97" ht="25" customHeight="1">
      <x:c r="A97" s="12"/>
      <x:c r="B97" s="12"/>
      <x:c r="C97" s="12"/>
      <x:c r="D97" s="13"/>
      <x:c r="E97" s="5"/>
      <x:c r="F97" s="12"/>
      <x:c r="G97" s="12"/>
      <x:c r="H97" s="12"/>
      <x:c r="I97" s="14"/>
      <x:c r="J97" s="6" t="str">
        <x:f>IF(A97="","",SUMIF(Pembayaran!$B$9:$B$108,A97,Pembayaran!$E$9:$E$108))</x:f>
      </x:c>
      <x:c r="K97" s="6" t="str">
        <x:f>IF(A97="","",IF(D97="","",D97-J97))</x:f>
      </x:c>
      <x:c r="L97" s="2" t="str">
        <x:f>IF(A97="","",IF(COUNTIF($A$9:$A$108,A97)&gt;1,"ID duplikat",IF(OR(B97="",C97="",D97="",D97&lt;=0,E97="",F97="",G97="",H97=""),"Lengkapi input",IF(K97&lt;0,"Lebih bayar",IF(AND(K97&gt;0,E97&lt;Ringkasan!$B$3),"Lewat tenggat","")))))</x:f>
      </x:c>
      <x:c r="M97" s="2" t="str">
        <x:f>IF(A97="","",IF(L97="ID duplikat","Periksa ID",IF(F97="Dibatalkan","Rekonsiliasi",IF(AND(F97="Selesai",G97="Ya",H97="Ya",K97=0,L97="",(COUNTIFS(Pembayaran!$B$9:$B$108,A97,Pembayaran!$G$9:$G$108,"Lengkapi input")+COUNTIFS(Pembayaran!$B$9:$B$108,A97,Pembayaran!$G$9:$G$108,"ID duplikat")+COUNTIFS(Pembayaran!$B$9:$B$108,A97,Pembayaran!$G$9:$G$108,"Periksa ID proyek")+COUNTIFS(Pembayaran!$B$9:$B$108,A97,Pembayaran!$G$9:$G$108,"Isi ID pembayaran"))=0),"Siap ditutup","Masih terbuka"))))</x:f>
      </x:c>
    </x:row>
    <x:row r="98" ht="25" customHeight="1">
      <x:c r="A98" s="12"/>
      <x:c r="B98" s="12"/>
      <x:c r="C98" s="12"/>
      <x:c r="D98" s="13"/>
      <x:c r="E98" s="5"/>
      <x:c r="F98" s="12"/>
      <x:c r="G98" s="12"/>
      <x:c r="H98" s="12"/>
      <x:c r="I98" s="14"/>
      <x:c r="J98" s="6" t="str">
        <x:f>IF(A98="","",SUMIF(Pembayaran!$B$9:$B$108,A98,Pembayaran!$E$9:$E$108))</x:f>
      </x:c>
      <x:c r="K98" s="6" t="str">
        <x:f>IF(A98="","",IF(D98="","",D98-J98))</x:f>
      </x:c>
      <x:c r="L98" s="2" t="str">
        <x:f>IF(A98="","",IF(COUNTIF($A$9:$A$108,A98)&gt;1,"ID duplikat",IF(OR(B98="",C98="",D98="",D98&lt;=0,E98="",F98="",G98="",H98=""),"Lengkapi input",IF(K98&lt;0,"Lebih bayar",IF(AND(K98&gt;0,E98&lt;Ringkasan!$B$3),"Lewat tenggat","")))))</x:f>
      </x:c>
      <x:c r="M98" s="2" t="str">
        <x:f>IF(A98="","",IF(L98="ID duplikat","Periksa ID",IF(F98="Dibatalkan","Rekonsiliasi",IF(AND(F98="Selesai",G98="Ya",H98="Ya",K98=0,L98="",(COUNTIFS(Pembayaran!$B$9:$B$108,A98,Pembayaran!$G$9:$G$108,"Lengkapi input")+COUNTIFS(Pembayaran!$B$9:$B$108,A98,Pembayaran!$G$9:$G$108,"ID duplikat")+COUNTIFS(Pembayaran!$B$9:$B$108,A98,Pembayaran!$G$9:$G$108,"Periksa ID proyek")+COUNTIFS(Pembayaran!$B$9:$B$108,A98,Pembayaran!$G$9:$G$108,"Isi ID pembayaran"))=0),"Siap ditutup","Masih terbuka"))))</x:f>
      </x:c>
    </x:row>
    <x:row r="99" ht="25" customHeight="1">
      <x:c r="A99" s="12"/>
      <x:c r="B99" s="12"/>
      <x:c r="C99" s="12"/>
      <x:c r="D99" s="13"/>
      <x:c r="E99" s="5"/>
      <x:c r="F99" s="12"/>
      <x:c r="G99" s="12"/>
      <x:c r="H99" s="12"/>
      <x:c r="I99" s="14"/>
      <x:c r="J99" s="6" t="str">
        <x:f>IF(A99="","",SUMIF(Pembayaran!$B$9:$B$108,A99,Pembayaran!$E$9:$E$108))</x:f>
      </x:c>
      <x:c r="K99" s="6" t="str">
        <x:f>IF(A99="","",IF(D99="","",D99-J99))</x:f>
      </x:c>
      <x:c r="L99" s="2" t="str">
        <x:f>IF(A99="","",IF(COUNTIF($A$9:$A$108,A99)&gt;1,"ID duplikat",IF(OR(B99="",C99="",D99="",D99&lt;=0,E99="",F99="",G99="",H99=""),"Lengkapi input",IF(K99&lt;0,"Lebih bayar",IF(AND(K99&gt;0,E99&lt;Ringkasan!$B$3),"Lewat tenggat","")))))</x:f>
      </x:c>
      <x:c r="M99" s="2" t="str">
        <x:f>IF(A99="","",IF(L99="ID duplikat","Periksa ID",IF(F99="Dibatalkan","Rekonsiliasi",IF(AND(F99="Selesai",G99="Ya",H99="Ya",K99=0,L99="",(COUNTIFS(Pembayaran!$B$9:$B$108,A99,Pembayaran!$G$9:$G$108,"Lengkapi input")+COUNTIFS(Pembayaran!$B$9:$B$108,A99,Pembayaran!$G$9:$G$108,"ID duplikat")+COUNTIFS(Pembayaran!$B$9:$B$108,A99,Pembayaran!$G$9:$G$108,"Periksa ID proyek")+COUNTIFS(Pembayaran!$B$9:$B$108,A99,Pembayaran!$G$9:$G$108,"Isi ID pembayaran"))=0),"Siap ditutup","Masih terbuka"))))</x:f>
      </x:c>
    </x:row>
    <x:row r="100" ht="25" customHeight="1">
      <x:c r="A100" s="12"/>
      <x:c r="B100" s="12"/>
      <x:c r="C100" s="12"/>
      <x:c r="D100" s="13"/>
      <x:c r="E100" s="5"/>
      <x:c r="F100" s="12"/>
      <x:c r="G100" s="12"/>
      <x:c r="H100" s="12"/>
      <x:c r="I100" s="14"/>
      <x:c r="J100" s="6" t="str">
        <x:f>IF(A100="","",SUMIF(Pembayaran!$B$9:$B$108,A100,Pembayaran!$E$9:$E$108))</x:f>
      </x:c>
      <x:c r="K100" s="6" t="str">
        <x:f>IF(A100="","",IF(D100="","",D100-J100))</x:f>
      </x:c>
      <x:c r="L100" s="2" t="str">
        <x:f>IF(A100="","",IF(COUNTIF($A$9:$A$108,A100)&gt;1,"ID duplikat",IF(OR(B100="",C100="",D100="",D100&lt;=0,E100="",F100="",G100="",H100=""),"Lengkapi input",IF(K100&lt;0,"Lebih bayar",IF(AND(K100&gt;0,E100&lt;Ringkasan!$B$3),"Lewat tenggat","")))))</x:f>
      </x:c>
      <x:c r="M100" s="2" t="str">
        <x:f>IF(A100="","",IF(L100="ID duplikat","Periksa ID",IF(F100="Dibatalkan","Rekonsiliasi",IF(AND(F100="Selesai",G100="Ya",H100="Ya",K100=0,L100="",(COUNTIFS(Pembayaran!$B$9:$B$108,A100,Pembayaran!$G$9:$G$108,"Lengkapi input")+COUNTIFS(Pembayaran!$B$9:$B$108,A100,Pembayaran!$G$9:$G$108,"ID duplikat")+COUNTIFS(Pembayaran!$B$9:$B$108,A100,Pembayaran!$G$9:$G$108,"Periksa ID proyek")+COUNTIFS(Pembayaran!$B$9:$B$108,A100,Pembayaran!$G$9:$G$108,"Isi ID pembayaran"))=0),"Siap ditutup","Masih terbuka"))))</x:f>
      </x:c>
    </x:row>
    <x:row r="101" ht="25" customHeight="1">
      <x:c r="A101" s="12"/>
      <x:c r="B101" s="12"/>
      <x:c r="C101" s="12"/>
      <x:c r="D101" s="13"/>
      <x:c r="E101" s="5"/>
      <x:c r="F101" s="12"/>
      <x:c r="G101" s="12"/>
      <x:c r="H101" s="12"/>
      <x:c r="I101" s="14"/>
      <x:c r="J101" s="6" t="str">
        <x:f>IF(A101="","",SUMIF(Pembayaran!$B$9:$B$108,A101,Pembayaran!$E$9:$E$108))</x:f>
      </x:c>
      <x:c r="K101" s="6" t="str">
        <x:f>IF(A101="","",IF(D101="","",D101-J101))</x:f>
      </x:c>
      <x:c r="L101" s="2" t="str">
        <x:f>IF(A101="","",IF(COUNTIF($A$9:$A$108,A101)&gt;1,"ID duplikat",IF(OR(B101="",C101="",D101="",D101&lt;=0,E101="",F101="",G101="",H101=""),"Lengkapi input",IF(K101&lt;0,"Lebih bayar",IF(AND(K101&gt;0,E101&lt;Ringkasan!$B$3),"Lewat tenggat","")))))</x:f>
      </x:c>
      <x:c r="M101" s="2" t="str">
        <x:f>IF(A101="","",IF(L101="ID duplikat","Periksa ID",IF(F101="Dibatalkan","Rekonsiliasi",IF(AND(F101="Selesai",G101="Ya",H101="Ya",K101=0,L101="",(COUNTIFS(Pembayaran!$B$9:$B$108,A101,Pembayaran!$G$9:$G$108,"Lengkapi input")+COUNTIFS(Pembayaran!$B$9:$B$108,A101,Pembayaran!$G$9:$G$108,"ID duplikat")+COUNTIFS(Pembayaran!$B$9:$B$108,A101,Pembayaran!$G$9:$G$108,"Periksa ID proyek")+COUNTIFS(Pembayaran!$B$9:$B$108,A101,Pembayaran!$G$9:$G$108,"Isi ID pembayaran"))=0),"Siap ditutup","Masih terbuka"))))</x:f>
      </x:c>
    </x:row>
    <x:row r="102" ht="25" customHeight="1">
      <x:c r="A102" s="12"/>
      <x:c r="B102" s="12"/>
      <x:c r="C102" s="12"/>
      <x:c r="D102" s="13"/>
      <x:c r="E102" s="5"/>
      <x:c r="F102" s="12"/>
      <x:c r="G102" s="12"/>
      <x:c r="H102" s="12"/>
      <x:c r="I102" s="14"/>
      <x:c r="J102" s="6" t="str">
        <x:f>IF(A102="","",SUMIF(Pembayaran!$B$9:$B$108,A102,Pembayaran!$E$9:$E$108))</x:f>
      </x:c>
      <x:c r="K102" s="6" t="str">
        <x:f>IF(A102="","",IF(D102="","",D102-J102))</x:f>
      </x:c>
      <x:c r="L102" s="2" t="str">
        <x:f>IF(A102="","",IF(COUNTIF($A$9:$A$108,A102)&gt;1,"ID duplikat",IF(OR(B102="",C102="",D102="",D102&lt;=0,E102="",F102="",G102="",H102=""),"Lengkapi input",IF(K102&lt;0,"Lebih bayar",IF(AND(K102&gt;0,E102&lt;Ringkasan!$B$3),"Lewat tenggat","")))))</x:f>
      </x:c>
      <x:c r="M102" s="2" t="str">
        <x:f>IF(A102="","",IF(L102="ID duplikat","Periksa ID",IF(F102="Dibatalkan","Rekonsiliasi",IF(AND(F102="Selesai",G102="Ya",H102="Ya",K102=0,L102="",(COUNTIFS(Pembayaran!$B$9:$B$108,A102,Pembayaran!$G$9:$G$108,"Lengkapi input")+COUNTIFS(Pembayaran!$B$9:$B$108,A102,Pembayaran!$G$9:$G$108,"ID duplikat")+COUNTIFS(Pembayaran!$B$9:$B$108,A102,Pembayaran!$G$9:$G$108,"Periksa ID proyek")+COUNTIFS(Pembayaran!$B$9:$B$108,A102,Pembayaran!$G$9:$G$108,"Isi ID pembayaran"))=0),"Siap ditutup","Masih terbuka"))))</x:f>
      </x:c>
    </x:row>
    <x:row r="103" ht="25" customHeight="1">
      <x:c r="A103" s="12"/>
      <x:c r="B103" s="12"/>
      <x:c r="C103" s="12"/>
      <x:c r="D103" s="13"/>
      <x:c r="E103" s="5"/>
      <x:c r="F103" s="12"/>
      <x:c r="G103" s="12"/>
      <x:c r="H103" s="12"/>
      <x:c r="I103" s="14"/>
      <x:c r="J103" s="6" t="str">
        <x:f>IF(A103="","",SUMIF(Pembayaran!$B$9:$B$108,A103,Pembayaran!$E$9:$E$108))</x:f>
      </x:c>
      <x:c r="K103" s="6" t="str">
        <x:f>IF(A103="","",IF(D103="","",D103-J103))</x:f>
      </x:c>
      <x:c r="L103" s="2" t="str">
        <x:f>IF(A103="","",IF(COUNTIF($A$9:$A$108,A103)&gt;1,"ID duplikat",IF(OR(B103="",C103="",D103="",D103&lt;=0,E103="",F103="",G103="",H103=""),"Lengkapi input",IF(K103&lt;0,"Lebih bayar",IF(AND(K103&gt;0,E103&lt;Ringkasan!$B$3),"Lewat tenggat","")))))</x:f>
      </x:c>
      <x:c r="M103" s="2" t="str">
        <x:f>IF(A103="","",IF(L103="ID duplikat","Periksa ID",IF(F103="Dibatalkan","Rekonsiliasi",IF(AND(F103="Selesai",G103="Ya",H103="Ya",K103=0,L103="",(COUNTIFS(Pembayaran!$B$9:$B$108,A103,Pembayaran!$G$9:$G$108,"Lengkapi input")+COUNTIFS(Pembayaran!$B$9:$B$108,A103,Pembayaran!$G$9:$G$108,"ID duplikat")+COUNTIFS(Pembayaran!$B$9:$B$108,A103,Pembayaran!$G$9:$G$108,"Periksa ID proyek")+COUNTIFS(Pembayaran!$B$9:$B$108,A103,Pembayaran!$G$9:$G$108,"Isi ID pembayaran"))=0),"Siap ditutup","Masih terbuka"))))</x:f>
      </x:c>
    </x:row>
    <x:row r="104" ht="25" customHeight="1">
      <x:c r="A104" s="12"/>
      <x:c r="B104" s="12"/>
      <x:c r="C104" s="12"/>
      <x:c r="D104" s="13"/>
      <x:c r="E104" s="5"/>
      <x:c r="F104" s="12"/>
      <x:c r="G104" s="12"/>
      <x:c r="H104" s="12"/>
      <x:c r="I104" s="14"/>
      <x:c r="J104" s="6" t="str">
        <x:f>IF(A104="","",SUMIF(Pembayaran!$B$9:$B$108,A104,Pembayaran!$E$9:$E$108))</x:f>
      </x:c>
      <x:c r="K104" s="6" t="str">
        <x:f>IF(A104="","",IF(D104="","",D104-J104))</x:f>
      </x:c>
      <x:c r="L104" s="2" t="str">
        <x:f>IF(A104="","",IF(COUNTIF($A$9:$A$108,A104)&gt;1,"ID duplikat",IF(OR(B104="",C104="",D104="",D104&lt;=0,E104="",F104="",G104="",H104=""),"Lengkapi input",IF(K104&lt;0,"Lebih bayar",IF(AND(K104&gt;0,E104&lt;Ringkasan!$B$3),"Lewat tenggat","")))))</x:f>
      </x:c>
      <x:c r="M104" s="2" t="str">
        <x:f>IF(A104="","",IF(L104="ID duplikat","Periksa ID",IF(F104="Dibatalkan","Rekonsiliasi",IF(AND(F104="Selesai",G104="Ya",H104="Ya",K104=0,L104="",(COUNTIFS(Pembayaran!$B$9:$B$108,A104,Pembayaran!$G$9:$G$108,"Lengkapi input")+COUNTIFS(Pembayaran!$B$9:$B$108,A104,Pembayaran!$G$9:$G$108,"ID duplikat")+COUNTIFS(Pembayaran!$B$9:$B$108,A104,Pembayaran!$G$9:$G$108,"Periksa ID proyek")+COUNTIFS(Pembayaran!$B$9:$B$108,A104,Pembayaran!$G$9:$G$108,"Isi ID pembayaran"))=0),"Siap ditutup","Masih terbuka"))))</x:f>
      </x:c>
    </x:row>
    <x:row r="105" ht="25" customHeight="1">
      <x:c r="A105" s="12"/>
      <x:c r="B105" s="12"/>
      <x:c r="C105" s="12"/>
      <x:c r="D105" s="13"/>
      <x:c r="E105" s="5"/>
      <x:c r="F105" s="12"/>
      <x:c r="G105" s="12"/>
      <x:c r="H105" s="12"/>
      <x:c r="I105" s="14"/>
      <x:c r="J105" s="6" t="str">
        <x:f>IF(A105="","",SUMIF(Pembayaran!$B$9:$B$108,A105,Pembayaran!$E$9:$E$108))</x:f>
      </x:c>
      <x:c r="K105" s="6" t="str">
        <x:f>IF(A105="","",IF(D105="","",D105-J105))</x:f>
      </x:c>
      <x:c r="L105" s="2" t="str">
        <x:f>IF(A105="","",IF(COUNTIF($A$9:$A$108,A105)&gt;1,"ID duplikat",IF(OR(B105="",C105="",D105="",D105&lt;=0,E105="",F105="",G105="",H105=""),"Lengkapi input",IF(K105&lt;0,"Lebih bayar",IF(AND(K105&gt;0,E105&lt;Ringkasan!$B$3),"Lewat tenggat","")))))</x:f>
      </x:c>
      <x:c r="M105" s="2" t="str">
        <x:f>IF(A105="","",IF(L105="ID duplikat","Periksa ID",IF(F105="Dibatalkan","Rekonsiliasi",IF(AND(F105="Selesai",G105="Ya",H105="Ya",K105=0,L105="",(COUNTIFS(Pembayaran!$B$9:$B$108,A105,Pembayaran!$G$9:$G$108,"Lengkapi input")+COUNTIFS(Pembayaran!$B$9:$B$108,A105,Pembayaran!$G$9:$G$108,"ID duplikat")+COUNTIFS(Pembayaran!$B$9:$B$108,A105,Pembayaran!$G$9:$G$108,"Periksa ID proyek")+COUNTIFS(Pembayaran!$B$9:$B$108,A105,Pembayaran!$G$9:$G$108,"Isi ID pembayaran"))=0),"Siap ditutup","Masih terbuka"))))</x:f>
      </x:c>
    </x:row>
    <x:row r="106" ht="25" customHeight="1">
      <x:c r="A106" s="12"/>
      <x:c r="B106" s="12"/>
      <x:c r="C106" s="12"/>
      <x:c r="D106" s="13"/>
      <x:c r="E106" s="5"/>
      <x:c r="F106" s="12"/>
      <x:c r="G106" s="12"/>
      <x:c r="H106" s="12"/>
      <x:c r="I106" s="14"/>
      <x:c r="J106" s="6" t="str">
        <x:f>IF(A106="","",SUMIF(Pembayaran!$B$9:$B$108,A106,Pembayaran!$E$9:$E$108))</x:f>
      </x:c>
      <x:c r="K106" s="6" t="str">
        <x:f>IF(A106="","",IF(D106="","",D106-J106))</x:f>
      </x:c>
      <x:c r="L106" s="2" t="str">
        <x:f>IF(A106="","",IF(COUNTIF($A$9:$A$108,A106)&gt;1,"ID duplikat",IF(OR(B106="",C106="",D106="",D106&lt;=0,E106="",F106="",G106="",H106=""),"Lengkapi input",IF(K106&lt;0,"Lebih bayar",IF(AND(K106&gt;0,E106&lt;Ringkasan!$B$3),"Lewat tenggat","")))))</x:f>
      </x:c>
      <x:c r="M106" s="2" t="str">
        <x:f>IF(A106="","",IF(L106="ID duplikat","Periksa ID",IF(F106="Dibatalkan","Rekonsiliasi",IF(AND(F106="Selesai",G106="Ya",H106="Ya",K106=0,L106="",(COUNTIFS(Pembayaran!$B$9:$B$108,A106,Pembayaran!$G$9:$G$108,"Lengkapi input")+COUNTIFS(Pembayaran!$B$9:$B$108,A106,Pembayaran!$G$9:$G$108,"ID duplikat")+COUNTIFS(Pembayaran!$B$9:$B$108,A106,Pembayaran!$G$9:$G$108,"Periksa ID proyek")+COUNTIFS(Pembayaran!$B$9:$B$108,A106,Pembayaran!$G$9:$G$108,"Isi ID pembayaran"))=0),"Siap ditutup","Masih terbuka"))))</x:f>
      </x:c>
    </x:row>
    <x:row r="107" ht="25" customHeight="1">
      <x:c r="A107" s="12"/>
      <x:c r="B107" s="12"/>
      <x:c r="C107" s="12"/>
      <x:c r="D107" s="13"/>
      <x:c r="E107" s="5"/>
      <x:c r="F107" s="12"/>
      <x:c r="G107" s="12"/>
      <x:c r="H107" s="12"/>
      <x:c r="I107" s="14"/>
      <x:c r="J107" s="6" t="str">
        <x:f>IF(A107="","",SUMIF(Pembayaran!$B$9:$B$108,A107,Pembayaran!$E$9:$E$108))</x:f>
      </x:c>
      <x:c r="K107" s="6" t="str">
        <x:f>IF(A107="","",IF(D107="","",D107-J107))</x:f>
      </x:c>
      <x:c r="L107" s="2" t="str">
        <x:f>IF(A107="","",IF(COUNTIF($A$9:$A$108,A107)&gt;1,"ID duplikat",IF(OR(B107="",C107="",D107="",D107&lt;=0,E107="",F107="",G107="",H107=""),"Lengkapi input",IF(K107&lt;0,"Lebih bayar",IF(AND(K107&gt;0,E107&lt;Ringkasan!$B$3),"Lewat tenggat","")))))</x:f>
      </x:c>
      <x:c r="M107" s="2" t="str">
        <x:f>IF(A107="","",IF(L107="ID duplikat","Periksa ID",IF(F107="Dibatalkan","Rekonsiliasi",IF(AND(F107="Selesai",G107="Ya",H107="Ya",K107=0,L107="",(COUNTIFS(Pembayaran!$B$9:$B$108,A107,Pembayaran!$G$9:$G$108,"Lengkapi input")+COUNTIFS(Pembayaran!$B$9:$B$108,A107,Pembayaran!$G$9:$G$108,"ID duplikat")+COUNTIFS(Pembayaran!$B$9:$B$108,A107,Pembayaran!$G$9:$G$108,"Periksa ID proyek")+COUNTIFS(Pembayaran!$B$9:$B$108,A107,Pembayaran!$G$9:$G$108,"Isi ID pembayaran"))=0),"Siap ditutup","Masih terbuka"))))</x:f>
      </x:c>
    </x:row>
    <x:row r="108" ht="25" customHeight="1">
      <x:c r="A108" s="12"/>
      <x:c r="B108" s="12"/>
      <x:c r="C108" s="12"/>
      <x:c r="D108" s="13"/>
      <x:c r="E108" s="5"/>
      <x:c r="F108" s="12"/>
      <x:c r="G108" s="12"/>
      <x:c r="H108" s="12"/>
      <x:c r="I108" s="14"/>
      <x:c r="J108" s="6" t="str">
        <x:f>IF(A108="","",SUMIF(Pembayaran!$B$9:$B$108,A108,Pembayaran!$E$9:$E$108))</x:f>
      </x:c>
      <x:c r="K108" s="6" t="str">
        <x:f>IF(A108="","",IF(D108="","",D108-J108))</x:f>
      </x:c>
      <x:c r="L108" s="2" t="str">
        <x:f>IF(A108="","",IF(COUNTIF($A$9:$A$108,A108)&gt;1,"ID duplikat",IF(OR(B108="",C108="",D108="",D108&lt;=0,E108="",F108="",G108="",H108=""),"Lengkapi input",IF(K108&lt;0,"Lebih bayar",IF(AND(K108&gt;0,E108&lt;Ringkasan!$B$3),"Lewat tenggat","")))))</x:f>
      </x:c>
      <x:c r="M108" s="2" t="str">
        <x:f>IF(A108="","",IF(L108="ID duplikat","Periksa ID",IF(F108="Dibatalkan","Rekonsiliasi",IF(AND(F108="Selesai",G108="Ya",H108="Ya",K108=0,L108="",(COUNTIFS(Pembayaran!$B$9:$B$108,A108,Pembayaran!$G$9:$G$108,"Lengkapi input")+COUNTIFS(Pembayaran!$B$9:$B$108,A108,Pembayaran!$G$9:$G$108,"ID duplikat")+COUNTIFS(Pembayaran!$B$9:$B$108,A108,Pembayaran!$G$9:$G$108,"Periksa ID proyek")+COUNTIFS(Pembayaran!$B$9:$B$108,A108,Pembayaran!$G$9:$G$108,"Isi ID pembayaran"))=0),"Siap ditutup","Masih terbuka"))))</x:f>
      </x:c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</x:sheetData>
  <x:conditionalFormatting sqref="L9:L108">
    <x:cfRule type="expression" dxfId="0" priority="1">
      <x:formula>AND($A9&lt;&gt;"",$L9&lt;&gt;"")</x:formula>
    </x:cfRule>
  </x:conditionalFormatting>
  <x:dataValidations count="3">
    <x:dataValidation type="list" sqref="F9:F108">
      <x:formula1>"Belum mulai,Berjalan,Review,Selesai,Dijeda,Dibatalkan"</x:formula1>
    </x:dataValidation>
    <x:dataValidation type="list" sqref="G9:G108">
      <x:formula1>"Ya,Tidak"</x:formula1>
    </x:dataValidation>
    <x:dataValidation type="list" sqref="H9:H108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a2002b1884ddd"/>
  </x:tableParts>
</x:worksheet>
</file>

<file path=xl/worksheets/sheet3.xml><?xml version="1.0" encoding="utf-8"?>
<x:worksheet xmlns:x="http://schemas.openxmlformats.org/spreadsheetml/2006/main">
  <x:sheetPr>
    <x:tabColor rgb="FF49634D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1" hidden="0" customWidth="1"/>
    <x:col min="2" max="2" width="23" hidden="0" customWidth="1"/>
    <x:col min="3" max="3" width="24" hidden="0" customWidth="1"/>
    <x:col min="4" max="4" width="24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Pembayaran yang terverifikasi</x:v>
      </x:c>
      <x:c r="B2" s="2"/>
      <x:c r="C2" s="2"/>
      <x:c r="D2" s="2"/>
      <x:c r="E2" s="2"/>
      <x:c r="F2" s="2"/>
      <x:c r="G2" s="2"/>
    </x:row>
    <x:row r="3" ht="25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Satu baris per dana masuk; cocokkan ID proyek. Tidak memodelkan pajak atau refund.</x:v>
      </x:c>
      <x:c r="B4" s="2"/>
      <x:c r="C4" s="2"/>
      <x:c r="D4" s="2"/>
      <x:c r="E4" s="2"/>
      <x:c r="F4" s="2"/>
      <x:c r="G4" s="2"/>
    </x:row>
    <x:row r="5" ht="25" customHeight="1">
      <x:c r="A5" s="2"/>
      <x:c r="B5" s="2"/>
      <x:c r="C5" s="2"/>
      <x:c r="D5" s="2"/>
      <x:c r="E5" s="2"/>
      <x:c r="F5" s="2"/>
      <x:c r="G5" s="2"/>
    </x:row>
    <x:row r="6" ht="25" customHeight="1">
      <x:c r="A6" s="2"/>
      <x:c r="B6" s="2"/>
      <x:c r="C6" s="2"/>
      <x:c r="D6" s="2"/>
      <x:c r="E6" s="2"/>
      <x:c r="F6" s="2"/>
      <x:c r="G6" s="2"/>
    </x:row>
    <x:row r="7" ht="25" customHeight="1">
      <x:c r="A7" s="2"/>
      <x:c r="B7" s="2"/>
      <x:c r="C7" s="2"/>
      <x:c r="D7" s="2"/>
      <x:c r="E7" s="2"/>
      <x:c r="F7" s="2"/>
      <x:c r="G7" s="2"/>
    </x:row>
    <x:row r="8" ht="38" customHeight="1">
      <x:c r="A8" s="11" t="str">
        <x:v>ID pembayaran</x:v>
      </x:c>
      <x:c r="B8" s="11" t="str">
        <x:v>ID proyek</x:v>
      </x:c>
      <x:c r="C8" s="11" t="str">
        <x:v>Tanggal masuk</x:v>
      </x:c>
      <x:c r="D8" s="11" t="str">
        <x:v>Referensi invoice</x:v>
      </x:c>
      <x:c r="E8" s="11" t="str">
        <x:v>Dana masuk Rp</x:v>
      </x:c>
      <x:c r="F8" s="11" t="str">
        <x:v>Metode atau referensi</x:v>
      </x:c>
      <x:c r="G8" s="11" t="str">
        <x:v>Perhatian</x:v>
      </x:c>
    </x:row>
    <x:row r="9" ht="25" customHeight="1">
      <x:c r="A9" s="12" t="str">
        <x:v>PAY-DEMO-001</x:v>
      </x:c>
      <x:c r="B9" s="12" t="str">
        <x:v>DEMO-001</x:v>
      </x:c>
      <x:c r="C9" s="5" t="d">
        <x:v>2026-10-19T00:00:00.000Z</x:v>
      </x:c>
      <x:c r="D9" s="12" t="str">
        <x:v>INV-DEMO-001</x:v>
      </x:c>
      <x:c r="E9" s="13" t="n">
        <x:v>1925000</x:v>
      </x:c>
      <x:c r="F9" s="12" t="str">
        <x:v>CONTOH transfer bank</x:v>
      </x:c>
      <x:c r="G9" s="2" t="str">
        <x:f>IF(A9="",IF(COUNTA(B9:F9)&gt;0,"Isi ID pembayaran",""),IF(COUNTIF($A$9:$A$108,A9)&gt;1,"ID duplikat",IF(COUNTIF(Proyek!$A$9:$A$108,B9)&lt;&gt;1,"Periksa ID proyek",IF(OR(C9="",D9="",E9="",E9&lt;=0),"Lengkapi input",""))))</x:f>
      </x:c>
    </x:row>
    <x:row r="10" ht="25" customHeight="1">
      <x:c r="A10" s="12"/>
      <x:c r="B10" s="12"/>
      <x:c r="C10" s="5"/>
      <x:c r="D10" s="12"/>
      <x:c r="E10" s="13"/>
      <x:c r="F10" s="12"/>
      <x:c r="G10" s="2" t="str">
        <x:f>IF(A10="",IF(COUNTA(B10:F10)&gt;0,"Isi ID pembayaran",""),IF(COUNTIF($A$9:$A$108,A10)&gt;1,"ID duplikat",IF(COUNTIF(Proyek!$A$9:$A$108,B10)&lt;&gt;1,"Periksa ID proyek",IF(OR(C10="",D10="",E10="",E10&lt;=0),"Lengkapi input",""))))</x:f>
      </x:c>
    </x:row>
    <x:row r="11" ht="25" customHeight="1">
      <x:c r="A11" s="12"/>
      <x:c r="B11" s="12"/>
      <x:c r="C11" s="5"/>
      <x:c r="D11" s="12"/>
      <x:c r="E11" s="13"/>
      <x:c r="F11" s="12"/>
      <x:c r="G11" s="2" t="str">
        <x:f>IF(A11="",IF(COUNTA(B11:F11)&gt;0,"Isi ID pembayaran",""),IF(COUNTIF($A$9:$A$108,A11)&gt;1,"ID duplikat",IF(COUNTIF(Proyek!$A$9:$A$108,B11)&lt;&gt;1,"Periksa ID proyek",IF(OR(C11="",D11="",E11="",E11&lt;=0),"Lengkapi input",""))))</x:f>
      </x:c>
    </x:row>
    <x:row r="12" ht="25" customHeight="1">
      <x:c r="A12" s="12"/>
      <x:c r="B12" s="12"/>
      <x:c r="C12" s="5"/>
      <x:c r="D12" s="12"/>
      <x:c r="E12" s="13"/>
      <x:c r="F12" s="12"/>
      <x:c r="G12" s="2" t="str">
        <x:f>IF(A12="",IF(COUNTA(B12:F12)&gt;0,"Isi ID pembayaran",""),IF(COUNTIF($A$9:$A$108,A12)&gt;1,"ID duplikat",IF(COUNTIF(Proyek!$A$9:$A$108,B12)&lt;&gt;1,"Periksa ID proyek",IF(OR(C12="",D12="",E12="",E12&lt;=0),"Lengkapi input",""))))</x:f>
      </x:c>
    </x:row>
    <x:row r="13" ht="25" customHeight="1">
      <x:c r="A13" s="12"/>
      <x:c r="B13" s="12"/>
      <x:c r="C13" s="5"/>
      <x:c r="D13" s="12"/>
      <x:c r="E13" s="13"/>
      <x:c r="F13" s="12"/>
      <x:c r="G13" s="2" t="str">
        <x:f>IF(A13="",IF(COUNTA(B13:F13)&gt;0,"Isi ID pembayaran",""),IF(COUNTIF($A$9:$A$108,A13)&gt;1,"ID duplikat",IF(COUNTIF(Proyek!$A$9:$A$108,B13)&lt;&gt;1,"Periksa ID proyek",IF(OR(C13="",D13="",E13="",E13&lt;=0),"Lengkapi input",""))))</x:f>
      </x:c>
    </x:row>
    <x:row r="14" ht="25" customHeight="1">
      <x:c r="A14" s="12"/>
      <x:c r="B14" s="12"/>
      <x:c r="C14" s="5"/>
      <x:c r="D14" s="12"/>
      <x:c r="E14" s="13"/>
      <x:c r="F14" s="12"/>
      <x:c r="G14" s="2" t="str">
        <x:f>IF(A14="",IF(COUNTA(B14:F14)&gt;0,"Isi ID pembayaran",""),IF(COUNTIF($A$9:$A$108,A14)&gt;1,"ID duplikat",IF(COUNTIF(Proyek!$A$9:$A$108,B14)&lt;&gt;1,"Periksa ID proyek",IF(OR(C14="",D14="",E14="",E14&lt;=0),"Lengkapi input",""))))</x:f>
      </x:c>
    </x:row>
    <x:row r="15" ht="25" customHeight="1">
      <x:c r="A15" s="12"/>
      <x:c r="B15" s="12"/>
      <x:c r="C15" s="5"/>
      <x:c r="D15" s="12"/>
      <x:c r="E15" s="13"/>
      <x:c r="F15" s="12"/>
      <x:c r="G15" s="2" t="str">
        <x:f>IF(A15="",IF(COUNTA(B15:F15)&gt;0,"Isi ID pembayaran",""),IF(COUNTIF($A$9:$A$108,A15)&gt;1,"ID duplikat",IF(COUNTIF(Proyek!$A$9:$A$108,B15)&lt;&gt;1,"Periksa ID proyek",IF(OR(C15="",D15="",E15="",E15&lt;=0),"Lengkapi input",""))))</x:f>
      </x:c>
    </x:row>
    <x:row r="16" ht="25" customHeight="1">
      <x:c r="A16" s="12"/>
      <x:c r="B16" s="12"/>
      <x:c r="C16" s="5"/>
      <x:c r="D16" s="12"/>
      <x:c r="E16" s="13"/>
      <x:c r="F16" s="12"/>
      <x:c r="G16" s="2" t="str">
        <x:f>IF(A16="",IF(COUNTA(B16:F16)&gt;0,"Isi ID pembayaran",""),IF(COUNTIF($A$9:$A$108,A16)&gt;1,"ID duplikat",IF(COUNTIF(Proyek!$A$9:$A$108,B16)&lt;&gt;1,"Periksa ID proyek",IF(OR(C16="",D16="",E16="",E16&lt;=0),"Lengkapi input",""))))</x:f>
      </x:c>
    </x:row>
    <x:row r="17" ht="25" customHeight="1">
      <x:c r="A17" s="12"/>
      <x:c r="B17" s="12"/>
      <x:c r="C17" s="5"/>
      <x:c r="D17" s="12"/>
      <x:c r="E17" s="13"/>
      <x:c r="F17" s="12"/>
      <x:c r="G17" s="2" t="str">
        <x:f>IF(A17="",IF(COUNTA(B17:F17)&gt;0,"Isi ID pembayaran",""),IF(COUNTIF($A$9:$A$108,A17)&gt;1,"ID duplikat",IF(COUNTIF(Proyek!$A$9:$A$108,B17)&lt;&gt;1,"Periksa ID proyek",IF(OR(C17="",D17="",E17="",E17&lt;=0),"Lengkapi input",""))))</x:f>
      </x:c>
    </x:row>
    <x:row r="18" ht="25" customHeight="1">
      <x:c r="A18" s="12"/>
      <x:c r="B18" s="12"/>
      <x:c r="C18" s="5"/>
      <x:c r="D18" s="12"/>
      <x:c r="E18" s="13"/>
      <x:c r="F18" s="12"/>
      <x:c r="G18" s="2" t="str">
        <x:f>IF(A18="",IF(COUNTA(B18:F18)&gt;0,"Isi ID pembayaran",""),IF(COUNTIF($A$9:$A$108,A18)&gt;1,"ID duplikat",IF(COUNTIF(Proyek!$A$9:$A$108,B18)&lt;&gt;1,"Periksa ID proyek",IF(OR(C18="",D18="",E18="",E18&lt;=0),"Lengkapi input",""))))</x:f>
      </x:c>
    </x:row>
    <x:row r="19" ht="25" customHeight="1">
      <x:c r="A19" s="12"/>
      <x:c r="B19" s="12"/>
      <x:c r="C19" s="5"/>
      <x:c r="D19" s="12"/>
      <x:c r="E19" s="13"/>
      <x:c r="F19" s="12"/>
      <x:c r="G19" s="2" t="str">
        <x:f>IF(A19="",IF(COUNTA(B19:F19)&gt;0,"Isi ID pembayaran",""),IF(COUNTIF($A$9:$A$108,A19)&gt;1,"ID duplikat",IF(COUNTIF(Proyek!$A$9:$A$108,B19)&lt;&gt;1,"Periksa ID proyek",IF(OR(C19="",D19="",E19="",E19&lt;=0),"Lengkapi input",""))))</x:f>
      </x:c>
    </x:row>
    <x:row r="20" ht="25" customHeight="1">
      <x:c r="A20" s="12"/>
      <x:c r="B20" s="12"/>
      <x:c r="C20" s="5"/>
      <x:c r="D20" s="12"/>
      <x:c r="E20" s="13"/>
      <x:c r="F20" s="12"/>
      <x:c r="G20" s="2" t="str">
        <x:f>IF(A20="",IF(COUNTA(B20:F20)&gt;0,"Isi ID pembayaran",""),IF(COUNTIF($A$9:$A$108,A20)&gt;1,"ID duplikat",IF(COUNTIF(Proyek!$A$9:$A$108,B20)&lt;&gt;1,"Periksa ID proyek",IF(OR(C20="",D20="",E20="",E20&lt;=0),"Lengkapi input",""))))</x:f>
      </x:c>
    </x:row>
    <x:row r="21" ht="25" customHeight="1">
      <x:c r="A21" s="12"/>
      <x:c r="B21" s="12"/>
      <x:c r="C21" s="5"/>
      <x:c r="D21" s="12"/>
      <x:c r="E21" s="13"/>
      <x:c r="F21" s="12"/>
      <x:c r="G21" s="2" t="str">
        <x:f>IF(A21="",IF(COUNTA(B21:F21)&gt;0,"Isi ID pembayaran",""),IF(COUNTIF($A$9:$A$108,A21)&gt;1,"ID duplikat",IF(COUNTIF(Proyek!$A$9:$A$108,B21)&lt;&gt;1,"Periksa ID proyek",IF(OR(C21="",D21="",E21="",E21&lt;=0),"Lengkapi input",""))))</x:f>
      </x:c>
    </x:row>
    <x:row r="22" ht="25" customHeight="1">
      <x:c r="A22" s="12"/>
      <x:c r="B22" s="12"/>
      <x:c r="C22" s="5"/>
      <x:c r="D22" s="12"/>
      <x:c r="E22" s="13"/>
      <x:c r="F22" s="12"/>
      <x:c r="G22" s="2" t="str">
        <x:f>IF(A22="",IF(COUNTA(B22:F22)&gt;0,"Isi ID pembayaran",""),IF(COUNTIF($A$9:$A$108,A22)&gt;1,"ID duplikat",IF(COUNTIF(Proyek!$A$9:$A$108,B22)&lt;&gt;1,"Periksa ID proyek",IF(OR(C22="",D22="",E22="",E22&lt;=0),"Lengkapi input",""))))</x:f>
      </x:c>
    </x:row>
    <x:row r="23" ht="25" customHeight="1">
      <x:c r="A23" s="12"/>
      <x:c r="B23" s="12"/>
      <x:c r="C23" s="5"/>
      <x:c r="D23" s="12"/>
      <x:c r="E23" s="13"/>
      <x:c r="F23" s="12"/>
      <x:c r="G23" s="2" t="str">
        <x:f>IF(A23="",IF(COUNTA(B23:F23)&gt;0,"Isi ID pembayaran",""),IF(COUNTIF($A$9:$A$108,A23)&gt;1,"ID duplikat",IF(COUNTIF(Proyek!$A$9:$A$108,B23)&lt;&gt;1,"Periksa ID proyek",IF(OR(C23="",D23="",E23="",E23&lt;=0),"Lengkapi input",""))))</x:f>
      </x:c>
    </x:row>
    <x:row r="24" ht="25" customHeight="1">
      <x:c r="A24" s="12"/>
      <x:c r="B24" s="12"/>
      <x:c r="C24" s="5"/>
      <x:c r="D24" s="12"/>
      <x:c r="E24" s="13"/>
      <x:c r="F24" s="12"/>
      <x:c r="G24" s="2" t="str">
        <x:f>IF(A24="",IF(COUNTA(B24:F24)&gt;0,"Isi ID pembayaran",""),IF(COUNTIF($A$9:$A$108,A24)&gt;1,"ID duplikat",IF(COUNTIF(Proyek!$A$9:$A$108,B24)&lt;&gt;1,"Periksa ID proyek",IF(OR(C24="",D24="",E24="",E24&lt;=0),"Lengkapi input",""))))</x:f>
      </x:c>
    </x:row>
    <x:row r="25" ht="25" customHeight="1">
      <x:c r="A25" s="12"/>
      <x:c r="B25" s="12"/>
      <x:c r="C25" s="5"/>
      <x:c r="D25" s="12"/>
      <x:c r="E25" s="13"/>
      <x:c r="F25" s="12"/>
      <x:c r="G25" s="2" t="str">
        <x:f>IF(A25="",IF(COUNTA(B25:F25)&gt;0,"Isi ID pembayaran",""),IF(COUNTIF($A$9:$A$108,A25)&gt;1,"ID duplikat",IF(COUNTIF(Proyek!$A$9:$A$108,B25)&lt;&gt;1,"Periksa ID proyek",IF(OR(C25="",D25="",E25="",E25&lt;=0),"Lengkapi input",""))))</x:f>
      </x:c>
    </x:row>
    <x:row r="26" ht="25" customHeight="1">
      <x:c r="A26" s="12"/>
      <x:c r="B26" s="12"/>
      <x:c r="C26" s="5"/>
      <x:c r="D26" s="12"/>
      <x:c r="E26" s="13"/>
      <x:c r="F26" s="12"/>
      <x:c r="G26" s="2" t="str">
        <x:f>IF(A26="",IF(COUNTA(B26:F26)&gt;0,"Isi ID pembayaran",""),IF(COUNTIF($A$9:$A$108,A26)&gt;1,"ID duplikat",IF(COUNTIF(Proyek!$A$9:$A$108,B26)&lt;&gt;1,"Periksa ID proyek",IF(OR(C26="",D26="",E26="",E26&lt;=0),"Lengkapi input",""))))</x:f>
      </x:c>
    </x:row>
    <x:row r="27" ht="25" customHeight="1">
      <x:c r="A27" s="12"/>
      <x:c r="B27" s="12"/>
      <x:c r="C27" s="5"/>
      <x:c r="D27" s="12"/>
      <x:c r="E27" s="13"/>
      <x:c r="F27" s="12"/>
      <x:c r="G27" s="2" t="str">
        <x:f>IF(A27="",IF(COUNTA(B27:F27)&gt;0,"Isi ID pembayaran",""),IF(COUNTIF($A$9:$A$108,A27)&gt;1,"ID duplikat",IF(COUNTIF(Proyek!$A$9:$A$108,B27)&lt;&gt;1,"Periksa ID proyek",IF(OR(C27="",D27="",E27="",E27&lt;=0),"Lengkapi input",""))))</x:f>
      </x:c>
    </x:row>
    <x:row r="28" ht="25" customHeight="1">
      <x:c r="A28" s="12"/>
      <x:c r="B28" s="12"/>
      <x:c r="C28" s="5"/>
      <x:c r="D28" s="12"/>
      <x:c r="E28" s="13"/>
      <x:c r="F28" s="12"/>
      <x:c r="G28" s="2" t="str">
        <x:f>IF(A28="",IF(COUNTA(B28:F28)&gt;0,"Isi ID pembayaran",""),IF(COUNTIF($A$9:$A$108,A28)&gt;1,"ID duplikat",IF(COUNTIF(Proyek!$A$9:$A$108,B28)&lt;&gt;1,"Periksa ID proyek",IF(OR(C28="",D28="",E28="",E28&lt;=0),"Lengkapi input",""))))</x:f>
      </x:c>
    </x:row>
    <x:row r="29" ht="25" customHeight="1">
      <x:c r="A29" s="12"/>
      <x:c r="B29" s="12"/>
      <x:c r="C29" s="5"/>
      <x:c r="D29" s="12"/>
      <x:c r="E29" s="13"/>
      <x:c r="F29" s="12"/>
      <x:c r="G29" s="2" t="str">
        <x:f>IF(A29="",IF(COUNTA(B29:F29)&gt;0,"Isi ID pembayaran",""),IF(COUNTIF($A$9:$A$108,A29)&gt;1,"ID duplikat",IF(COUNTIF(Proyek!$A$9:$A$108,B29)&lt;&gt;1,"Periksa ID proyek",IF(OR(C29="",D29="",E29="",E29&lt;=0),"Lengkapi input",""))))</x:f>
      </x:c>
    </x:row>
    <x:row r="30" ht="25" customHeight="1">
      <x:c r="A30" s="12"/>
      <x:c r="B30" s="12"/>
      <x:c r="C30" s="5"/>
      <x:c r="D30" s="12"/>
      <x:c r="E30" s="13"/>
      <x:c r="F30" s="12"/>
      <x:c r="G30" s="2" t="str">
        <x:f>IF(A30="",IF(COUNTA(B30:F30)&gt;0,"Isi ID pembayaran",""),IF(COUNTIF($A$9:$A$108,A30)&gt;1,"ID duplikat",IF(COUNTIF(Proyek!$A$9:$A$108,B30)&lt;&gt;1,"Periksa ID proyek",IF(OR(C30="",D30="",E30="",E30&lt;=0),"Lengkapi input",""))))</x:f>
      </x:c>
    </x:row>
    <x:row r="31" ht="25" customHeight="1">
      <x:c r="A31" s="12"/>
      <x:c r="B31" s="12"/>
      <x:c r="C31" s="5"/>
      <x:c r="D31" s="12"/>
      <x:c r="E31" s="13"/>
      <x:c r="F31" s="12"/>
      <x:c r="G31" s="2" t="str">
        <x:f>IF(A31="",IF(COUNTA(B31:F31)&gt;0,"Isi ID pembayaran",""),IF(COUNTIF($A$9:$A$108,A31)&gt;1,"ID duplikat",IF(COUNTIF(Proyek!$A$9:$A$108,B31)&lt;&gt;1,"Periksa ID proyek",IF(OR(C31="",D31="",E31="",E31&lt;=0),"Lengkapi input",""))))</x:f>
      </x:c>
    </x:row>
    <x:row r="32" ht="25" customHeight="1">
      <x:c r="A32" s="12"/>
      <x:c r="B32" s="12"/>
      <x:c r="C32" s="5"/>
      <x:c r="D32" s="12"/>
      <x:c r="E32" s="13"/>
      <x:c r="F32" s="12"/>
      <x:c r="G32" s="2" t="str">
        <x:f>IF(A32="",IF(COUNTA(B32:F32)&gt;0,"Isi ID pembayaran",""),IF(COUNTIF($A$9:$A$108,A32)&gt;1,"ID duplikat",IF(COUNTIF(Proyek!$A$9:$A$108,B32)&lt;&gt;1,"Periksa ID proyek",IF(OR(C32="",D32="",E32="",E32&lt;=0),"Lengkapi input",""))))</x:f>
      </x:c>
    </x:row>
    <x:row r="33" ht="25" customHeight="1">
      <x:c r="A33" s="12"/>
      <x:c r="B33" s="12"/>
      <x:c r="C33" s="5"/>
      <x:c r="D33" s="12"/>
      <x:c r="E33" s="13"/>
      <x:c r="F33" s="12"/>
      <x:c r="G33" s="2" t="str">
        <x:f>IF(A33="",IF(COUNTA(B33:F33)&gt;0,"Isi ID pembayaran",""),IF(COUNTIF($A$9:$A$108,A33)&gt;1,"ID duplikat",IF(COUNTIF(Proyek!$A$9:$A$108,B33)&lt;&gt;1,"Periksa ID proyek",IF(OR(C33="",D33="",E33="",E33&lt;=0),"Lengkapi input",""))))</x:f>
      </x:c>
    </x:row>
    <x:row r="34" ht="25" customHeight="1">
      <x:c r="A34" s="12"/>
      <x:c r="B34" s="12"/>
      <x:c r="C34" s="5"/>
      <x:c r="D34" s="12"/>
      <x:c r="E34" s="13"/>
      <x:c r="F34" s="12"/>
      <x:c r="G34" s="2" t="str">
        <x:f>IF(A34="",IF(COUNTA(B34:F34)&gt;0,"Isi ID pembayaran",""),IF(COUNTIF($A$9:$A$108,A34)&gt;1,"ID duplikat",IF(COUNTIF(Proyek!$A$9:$A$108,B34)&lt;&gt;1,"Periksa ID proyek",IF(OR(C34="",D34="",E34="",E34&lt;=0),"Lengkapi input",""))))</x:f>
      </x:c>
    </x:row>
    <x:row r="35" ht="25" customHeight="1">
      <x:c r="A35" s="12"/>
      <x:c r="B35" s="12"/>
      <x:c r="C35" s="5"/>
      <x:c r="D35" s="12"/>
      <x:c r="E35" s="13"/>
      <x:c r="F35" s="12"/>
      <x:c r="G35" s="2" t="str">
        <x:f>IF(A35="",IF(COUNTA(B35:F35)&gt;0,"Isi ID pembayaran",""),IF(COUNTIF($A$9:$A$108,A35)&gt;1,"ID duplikat",IF(COUNTIF(Proyek!$A$9:$A$108,B35)&lt;&gt;1,"Periksa ID proyek",IF(OR(C35="",D35="",E35="",E35&lt;=0),"Lengkapi input",""))))</x:f>
      </x:c>
    </x:row>
    <x:row r="36" ht="25" customHeight="1">
      <x:c r="A36" s="12"/>
      <x:c r="B36" s="12"/>
      <x:c r="C36" s="5"/>
      <x:c r="D36" s="12"/>
      <x:c r="E36" s="13"/>
      <x:c r="F36" s="12"/>
      <x:c r="G36" s="2" t="str">
        <x:f>IF(A36="",IF(COUNTA(B36:F36)&gt;0,"Isi ID pembayaran",""),IF(COUNTIF($A$9:$A$108,A36)&gt;1,"ID duplikat",IF(COUNTIF(Proyek!$A$9:$A$108,B36)&lt;&gt;1,"Periksa ID proyek",IF(OR(C36="",D36="",E36="",E36&lt;=0),"Lengkapi input",""))))</x:f>
      </x:c>
    </x:row>
    <x:row r="37" ht="25" customHeight="1">
      <x:c r="A37" s="12"/>
      <x:c r="B37" s="12"/>
      <x:c r="C37" s="5"/>
      <x:c r="D37" s="12"/>
      <x:c r="E37" s="13"/>
      <x:c r="F37" s="12"/>
      <x:c r="G37" s="2" t="str">
        <x:f>IF(A37="",IF(COUNTA(B37:F37)&gt;0,"Isi ID pembayaran",""),IF(COUNTIF($A$9:$A$108,A37)&gt;1,"ID duplikat",IF(COUNTIF(Proyek!$A$9:$A$108,B37)&lt;&gt;1,"Periksa ID proyek",IF(OR(C37="",D37="",E37="",E37&lt;=0),"Lengkapi input",""))))</x:f>
      </x:c>
    </x:row>
    <x:row r="38" ht="25" customHeight="1">
      <x:c r="A38" s="12"/>
      <x:c r="B38" s="12"/>
      <x:c r="C38" s="5"/>
      <x:c r="D38" s="12"/>
      <x:c r="E38" s="13"/>
      <x:c r="F38" s="12"/>
      <x:c r="G38" s="2" t="str">
        <x:f>IF(A38="",IF(COUNTA(B38:F38)&gt;0,"Isi ID pembayaran",""),IF(COUNTIF($A$9:$A$108,A38)&gt;1,"ID duplikat",IF(COUNTIF(Proyek!$A$9:$A$108,B38)&lt;&gt;1,"Periksa ID proyek",IF(OR(C38="",D38="",E38="",E38&lt;=0),"Lengkapi input",""))))</x:f>
      </x:c>
    </x:row>
    <x:row r="39" ht="25" customHeight="1">
      <x:c r="A39" s="12"/>
      <x:c r="B39" s="12"/>
      <x:c r="C39" s="5"/>
      <x:c r="D39" s="12"/>
      <x:c r="E39" s="13"/>
      <x:c r="F39" s="12"/>
      <x:c r="G39" s="2" t="str">
        <x:f>IF(A39="",IF(COUNTA(B39:F39)&gt;0,"Isi ID pembayaran",""),IF(COUNTIF($A$9:$A$108,A39)&gt;1,"ID duplikat",IF(COUNTIF(Proyek!$A$9:$A$108,B39)&lt;&gt;1,"Periksa ID proyek",IF(OR(C39="",D39="",E39="",E39&lt;=0),"Lengkapi input",""))))</x:f>
      </x:c>
    </x:row>
    <x:row r="40" ht="25" customHeight="1">
      <x:c r="A40" s="12"/>
      <x:c r="B40" s="12"/>
      <x:c r="C40" s="5"/>
      <x:c r="D40" s="12"/>
      <x:c r="E40" s="13"/>
      <x:c r="F40" s="12"/>
      <x:c r="G40" s="2" t="str">
        <x:f>IF(A40="",IF(COUNTA(B40:F40)&gt;0,"Isi ID pembayaran",""),IF(COUNTIF($A$9:$A$108,A40)&gt;1,"ID duplikat",IF(COUNTIF(Proyek!$A$9:$A$108,B40)&lt;&gt;1,"Periksa ID proyek",IF(OR(C40="",D40="",E40="",E40&lt;=0),"Lengkapi input",""))))</x:f>
      </x:c>
    </x:row>
    <x:row r="41" ht="25" customHeight="1">
      <x:c r="A41" s="12"/>
      <x:c r="B41" s="12"/>
      <x:c r="C41" s="5"/>
      <x:c r="D41" s="12"/>
      <x:c r="E41" s="13"/>
      <x:c r="F41" s="12"/>
      <x:c r="G41" s="2" t="str">
        <x:f>IF(A41="",IF(COUNTA(B41:F41)&gt;0,"Isi ID pembayaran",""),IF(COUNTIF($A$9:$A$108,A41)&gt;1,"ID duplikat",IF(COUNTIF(Proyek!$A$9:$A$108,B41)&lt;&gt;1,"Periksa ID proyek",IF(OR(C41="",D41="",E41="",E41&lt;=0),"Lengkapi input",""))))</x:f>
      </x:c>
    </x:row>
    <x:row r="42" ht="25" customHeight="1">
      <x:c r="A42" s="12"/>
      <x:c r="B42" s="12"/>
      <x:c r="C42" s="5"/>
      <x:c r="D42" s="12"/>
      <x:c r="E42" s="13"/>
      <x:c r="F42" s="12"/>
      <x:c r="G42" s="2" t="str">
        <x:f>IF(A42="",IF(COUNTA(B42:F42)&gt;0,"Isi ID pembayaran",""),IF(COUNTIF($A$9:$A$108,A42)&gt;1,"ID duplikat",IF(COUNTIF(Proyek!$A$9:$A$108,B42)&lt;&gt;1,"Periksa ID proyek",IF(OR(C42="",D42="",E42="",E42&lt;=0),"Lengkapi input",""))))</x:f>
      </x:c>
    </x:row>
    <x:row r="43" ht="25" customHeight="1">
      <x:c r="A43" s="12"/>
      <x:c r="B43" s="12"/>
      <x:c r="C43" s="5"/>
      <x:c r="D43" s="12"/>
      <x:c r="E43" s="13"/>
      <x:c r="F43" s="12"/>
      <x:c r="G43" s="2" t="str">
        <x:f>IF(A43="",IF(COUNTA(B43:F43)&gt;0,"Isi ID pembayaran",""),IF(COUNTIF($A$9:$A$108,A43)&gt;1,"ID duplikat",IF(COUNTIF(Proyek!$A$9:$A$108,B43)&lt;&gt;1,"Periksa ID proyek",IF(OR(C43="",D43="",E43="",E43&lt;=0),"Lengkapi input",""))))</x:f>
      </x:c>
    </x:row>
    <x:row r="44" ht="25" customHeight="1">
      <x:c r="A44" s="12"/>
      <x:c r="B44" s="12"/>
      <x:c r="C44" s="5"/>
      <x:c r="D44" s="12"/>
      <x:c r="E44" s="13"/>
      <x:c r="F44" s="12"/>
      <x:c r="G44" s="2" t="str">
        <x:f>IF(A44="",IF(COUNTA(B44:F44)&gt;0,"Isi ID pembayaran",""),IF(COUNTIF($A$9:$A$108,A44)&gt;1,"ID duplikat",IF(COUNTIF(Proyek!$A$9:$A$108,B44)&lt;&gt;1,"Periksa ID proyek",IF(OR(C44="",D44="",E44="",E44&lt;=0),"Lengkapi input",""))))</x:f>
      </x:c>
    </x:row>
    <x:row r="45" ht="25" customHeight="1">
      <x:c r="A45" s="12"/>
      <x:c r="B45" s="12"/>
      <x:c r="C45" s="5"/>
      <x:c r="D45" s="12"/>
      <x:c r="E45" s="13"/>
      <x:c r="F45" s="12"/>
      <x:c r="G45" s="2" t="str">
        <x:f>IF(A45="",IF(COUNTA(B45:F45)&gt;0,"Isi ID pembayaran",""),IF(COUNTIF($A$9:$A$108,A45)&gt;1,"ID duplikat",IF(COUNTIF(Proyek!$A$9:$A$108,B45)&lt;&gt;1,"Periksa ID proyek",IF(OR(C45="",D45="",E45="",E45&lt;=0),"Lengkapi input",""))))</x:f>
      </x:c>
    </x:row>
    <x:row r="46" ht="25" customHeight="1">
      <x:c r="A46" s="12"/>
      <x:c r="B46" s="12"/>
      <x:c r="C46" s="5"/>
      <x:c r="D46" s="12"/>
      <x:c r="E46" s="13"/>
      <x:c r="F46" s="12"/>
      <x:c r="G46" s="2" t="str">
        <x:f>IF(A46="",IF(COUNTA(B46:F46)&gt;0,"Isi ID pembayaran",""),IF(COUNTIF($A$9:$A$108,A46)&gt;1,"ID duplikat",IF(COUNTIF(Proyek!$A$9:$A$108,B46)&lt;&gt;1,"Periksa ID proyek",IF(OR(C46="",D46="",E46="",E46&lt;=0),"Lengkapi input",""))))</x:f>
      </x:c>
    </x:row>
    <x:row r="47" ht="25" customHeight="1">
      <x:c r="A47" s="12"/>
      <x:c r="B47" s="12"/>
      <x:c r="C47" s="5"/>
      <x:c r="D47" s="12"/>
      <x:c r="E47" s="13"/>
      <x:c r="F47" s="12"/>
      <x:c r="G47" s="2" t="str">
        <x:f>IF(A47="",IF(COUNTA(B47:F47)&gt;0,"Isi ID pembayaran",""),IF(COUNTIF($A$9:$A$108,A47)&gt;1,"ID duplikat",IF(COUNTIF(Proyek!$A$9:$A$108,B47)&lt;&gt;1,"Periksa ID proyek",IF(OR(C47="",D47="",E47="",E47&lt;=0),"Lengkapi input",""))))</x:f>
      </x:c>
    </x:row>
    <x:row r="48" ht="25" customHeight="1">
      <x:c r="A48" s="12"/>
      <x:c r="B48" s="12"/>
      <x:c r="C48" s="5"/>
      <x:c r="D48" s="12"/>
      <x:c r="E48" s="13"/>
      <x:c r="F48" s="12"/>
      <x:c r="G48" s="2" t="str">
        <x:f>IF(A48="",IF(COUNTA(B48:F48)&gt;0,"Isi ID pembayaran",""),IF(COUNTIF($A$9:$A$108,A48)&gt;1,"ID duplikat",IF(COUNTIF(Proyek!$A$9:$A$108,B48)&lt;&gt;1,"Periksa ID proyek",IF(OR(C48="",D48="",E48="",E48&lt;=0),"Lengkapi input",""))))</x:f>
      </x:c>
    </x:row>
    <x:row r="49" ht="25" customHeight="1">
      <x:c r="A49" s="12"/>
      <x:c r="B49" s="12"/>
      <x:c r="C49" s="5"/>
      <x:c r="D49" s="12"/>
      <x:c r="E49" s="13"/>
      <x:c r="F49" s="12"/>
      <x:c r="G49" s="2" t="str">
        <x:f>IF(A49="",IF(COUNTA(B49:F49)&gt;0,"Isi ID pembayaran",""),IF(COUNTIF($A$9:$A$108,A49)&gt;1,"ID duplikat",IF(COUNTIF(Proyek!$A$9:$A$108,B49)&lt;&gt;1,"Periksa ID proyek",IF(OR(C49="",D49="",E49="",E49&lt;=0),"Lengkapi input",""))))</x:f>
      </x:c>
    </x:row>
    <x:row r="50" ht="25" customHeight="1">
      <x:c r="A50" s="12"/>
      <x:c r="B50" s="12"/>
      <x:c r="C50" s="5"/>
      <x:c r="D50" s="12"/>
      <x:c r="E50" s="13"/>
      <x:c r="F50" s="12"/>
      <x:c r="G50" s="2" t="str">
        <x:f>IF(A50="",IF(COUNTA(B50:F50)&gt;0,"Isi ID pembayaran",""),IF(COUNTIF($A$9:$A$108,A50)&gt;1,"ID duplikat",IF(COUNTIF(Proyek!$A$9:$A$108,B50)&lt;&gt;1,"Periksa ID proyek",IF(OR(C50="",D50="",E50="",E50&lt;=0),"Lengkapi input",""))))</x:f>
      </x:c>
    </x:row>
    <x:row r="51" ht="25" customHeight="1">
      <x:c r="A51" s="12"/>
      <x:c r="B51" s="12"/>
      <x:c r="C51" s="5"/>
      <x:c r="D51" s="12"/>
      <x:c r="E51" s="13"/>
      <x:c r="F51" s="12"/>
      <x:c r="G51" s="2" t="str">
        <x:f>IF(A51="",IF(COUNTA(B51:F51)&gt;0,"Isi ID pembayaran",""),IF(COUNTIF($A$9:$A$108,A51)&gt;1,"ID duplikat",IF(COUNTIF(Proyek!$A$9:$A$108,B51)&lt;&gt;1,"Periksa ID proyek",IF(OR(C51="",D51="",E51="",E51&lt;=0),"Lengkapi input",""))))</x:f>
      </x:c>
    </x:row>
    <x:row r="52" ht="25" customHeight="1">
      <x:c r="A52" s="12"/>
      <x:c r="B52" s="12"/>
      <x:c r="C52" s="5"/>
      <x:c r="D52" s="12"/>
      <x:c r="E52" s="13"/>
      <x:c r="F52" s="12"/>
      <x:c r="G52" s="2" t="str">
        <x:f>IF(A52="",IF(COUNTA(B52:F52)&gt;0,"Isi ID pembayaran",""),IF(COUNTIF($A$9:$A$108,A52)&gt;1,"ID duplikat",IF(COUNTIF(Proyek!$A$9:$A$108,B52)&lt;&gt;1,"Periksa ID proyek",IF(OR(C52="",D52="",E52="",E52&lt;=0),"Lengkapi input",""))))</x:f>
      </x:c>
    </x:row>
    <x:row r="53" ht="25" customHeight="1">
      <x:c r="A53" s="12"/>
      <x:c r="B53" s="12"/>
      <x:c r="C53" s="5"/>
      <x:c r="D53" s="12"/>
      <x:c r="E53" s="13"/>
      <x:c r="F53" s="12"/>
      <x:c r="G53" s="2" t="str">
        <x:f>IF(A53="",IF(COUNTA(B53:F53)&gt;0,"Isi ID pembayaran",""),IF(COUNTIF($A$9:$A$108,A53)&gt;1,"ID duplikat",IF(COUNTIF(Proyek!$A$9:$A$108,B53)&lt;&gt;1,"Periksa ID proyek",IF(OR(C53="",D53="",E53="",E53&lt;=0),"Lengkapi input",""))))</x:f>
      </x:c>
    </x:row>
    <x:row r="54" ht="25" customHeight="1">
      <x:c r="A54" s="12"/>
      <x:c r="B54" s="12"/>
      <x:c r="C54" s="5"/>
      <x:c r="D54" s="12"/>
      <x:c r="E54" s="13"/>
      <x:c r="F54" s="12"/>
      <x:c r="G54" s="2" t="str">
        <x:f>IF(A54="",IF(COUNTA(B54:F54)&gt;0,"Isi ID pembayaran",""),IF(COUNTIF($A$9:$A$108,A54)&gt;1,"ID duplikat",IF(COUNTIF(Proyek!$A$9:$A$108,B54)&lt;&gt;1,"Periksa ID proyek",IF(OR(C54="",D54="",E54="",E54&lt;=0),"Lengkapi input",""))))</x:f>
      </x:c>
    </x:row>
    <x:row r="55" ht="25" customHeight="1">
      <x:c r="A55" s="12"/>
      <x:c r="B55" s="12"/>
      <x:c r="C55" s="5"/>
      <x:c r="D55" s="12"/>
      <x:c r="E55" s="13"/>
      <x:c r="F55" s="12"/>
      <x:c r="G55" s="2" t="str">
        <x:f>IF(A55="",IF(COUNTA(B55:F55)&gt;0,"Isi ID pembayaran",""),IF(COUNTIF($A$9:$A$108,A55)&gt;1,"ID duplikat",IF(COUNTIF(Proyek!$A$9:$A$108,B55)&lt;&gt;1,"Periksa ID proyek",IF(OR(C55="",D55="",E55="",E55&lt;=0),"Lengkapi input",""))))</x:f>
      </x:c>
    </x:row>
    <x:row r="56" ht="25" customHeight="1">
      <x:c r="A56" s="12"/>
      <x:c r="B56" s="12"/>
      <x:c r="C56" s="5"/>
      <x:c r="D56" s="12"/>
      <x:c r="E56" s="13"/>
      <x:c r="F56" s="12"/>
      <x:c r="G56" s="2" t="str">
        <x:f>IF(A56="",IF(COUNTA(B56:F56)&gt;0,"Isi ID pembayaran",""),IF(COUNTIF($A$9:$A$108,A56)&gt;1,"ID duplikat",IF(COUNTIF(Proyek!$A$9:$A$108,B56)&lt;&gt;1,"Periksa ID proyek",IF(OR(C56="",D56="",E56="",E56&lt;=0),"Lengkapi input",""))))</x:f>
      </x:c>
    </x:row>
    <x:row r="57" ht="25" customHeight="1">
      <x:c r="A57" s="12"/>
      <x:c r="B57" s="12"/>
      <x:c r="C57" s="5"/>
      <x:c r="D57" s="12"/>
      <x:c r="E57" s="13"/>
      <x:c r="F57" s="12"/>
      <x:c r="G57" s="2" t="str">
        <x:f>IF(A57="",IF(COUNTA(B57:F57)&gt;0,"Isi ID pembayaran",""),IF(COUNTIF($A$9:$A$108,A57)&gt;1,"ID duplikat",IF(COUNTIF(Proyek!$A$9:$A$108,B57)&lt;&gt;1,"Periksa ID proyek",IF(OR(C57="",D57="",E57="",E57&lt;=0),"Lengkapi input",""))))</x:f>
      </x:c>
    </x:row>
    <x:row r="58" ht="25" customHeight="1">
      <x:c r="A58" s="12"/>
      <x:c r="B58" s="12"/>
      <x:c r="C58" s="5"/>
      <x:c r="D58" s="12"/>
      <x:c r="E58" s="13"/>
      <x:c r="F58" s="12"/>
      <x:c r="G58" s="2" t="str">
        <x:f>IF(A58="",IF(COUNTA(B58:F58)&gt;0,"Isi ID pembayaran",""),IF(COUNTIF($A$9:$A$108,A58)&gt;1,"ID duplikat",IF(COUNTIF(Proyek!$A$9:$A$108,B58)&lt;&gt;1,"Periksa ID proyek",IF(OR(C58="",D58="",E58="",E58&lt;=0),"Lengkapi input",""))))</x:f>
      </x:c>
    </x:row>
    <x:row r="59" ht="25" customHeight="1">
      <x:c r="A59" s="12"/>
      <x:c r="B59" s="12"/>
      <x:c r="C59" s="5"/>
      <x:c r="D59" s="12"/>
      <x:c r="E59" s="13"/>
      <x:c r="F59" s="12"/>
      <x:c r="G59" s="2" t="str">
        <x:f>IF(A59="",IF(COUNTA(B59:F59)&gt;0,"Isi ID pembayaran",""),IF(COUNTIF($A$9:$A$108,A59)&gt;1,"ID duplikat",IF(COUNTIF(Proyek!$A$9:$A$108,B59)&lt;&gt;1,"Periksa ID proyek",IF(OR(C59="",D59="",E59="",E59&lt;=0),"Lengkapi input",""))))</x:f>
      </x:c>
    </x:row>
    <x:row r="60" ht="25" customHeight="1">
      <x:c r="A60" s="12"/>
      <x:c r="B60" s="12"/>
      <x:c r="C60" s="5"/>
      <x:c r="D60" s="12"/>
      <x:c r="E60" s="13"/>
      <x:c r="F60" s="12"/>
      <x:c r="G60" s="2" t="str">
        <x:f>IF(A60="",IF(COUNTA(B60:F60)&gt;0,"Isi ID pembayaran",""),IF(COUNTIF($A$9:$A$108,A60)&gt;1,"ID duplikat",IF(COUNTIF(Proyek!$A$9:$A$108,B60)&lt;&gt;1,"Periksa ID proyek",IF(OR(C60="",D60="",E60="",E60&lt;=0),"Lengkapi input",""))))</x:f>
      </x:c>
    </x:row>
    <x:row r="61" ht="25" customHeight="1">
      <x:c r="A61" s="12"/>
      <x:c r="B61" s="12"/>
      <x:c r="C61" s="5"/>
      <x:c r="D61" s="12"/>
      <x:c r="E61" s="13"/>
      <x:c r="F61" s="12"/>
      <x:c r="G61" s="2" t="str">
        <x:f>IF(A61="",IF(COUNTA(B61:F61)&gt;0,"Isi ID pembayaran",""),IF(COUNTIF($A$9:$A$108,A61)&gt;1,"ID duplikat",IF(COUNTIF(Proyek!$A$9:$A$108,B61)&lt;&gt;1,"Periksa ID proyek",IF(OR(C61="",D61="",E61="",E61&lt;=0),"Lengkapi input",""))))</x:f>
      </x:c>
    </x:row>
    <x:row r="62" ht="25" customHeight="1">
      <x:c r="A62" s="12"/>
      <x:c r="B62" s="12"/>
      <x:c r="C62" s="5"/>
      <x:c r="D62" s="12"/>
      <x:c r="E62" s="13"/>
      <x:c r="F62" s="12"/>
      <x:c r="G62" s="2" t="str">
        <x:f>IF(A62="",IF(COUNTA(B62:F62)&gt;0,"Isi ID pembayaran",""),IF(COUNTIF($A$9:$A$108,A62)&gt;1,"ID duplikat",IF(COUNTIF(Proyek!$A$9:$A$108,B62)&lt;&gt;1,"Periksa ID proyek",IF(OR(C62="",D62="",E62="",E62&lt;=0),"Lengkapi input",""))))</x:f>
      </x:c>
    </x:row>
    <x:row r="63" ht="25" customHeight="1">
      <x:c r="A63" s="12"/>
      <x:c r="B63" s="12"/>
      <x:c r="C63" s="5"/>
      <x:c r="D63" s="12"/>
      <x:c r="E63" s="13"/>
      <x:c r="F63" s="12"/>
      <x:c r="G63" s="2" t="str">
        <x:f>IF(A63="",IF(COUNTA(B63:F63)&gt;0,"Isi ID pembayaran",""),IF(COUNTIF($A$9:$A$108,A63)&gt;1,"ID duplikat",IF(COUNTIF(Proyek!$A$9:$A$108,B63)&lt;&gt;1,"Periksa ID proyek",IF(OR(C63="",D63="",E63="",E63&lt;=0),"Lengkapi input",""))))</x:f>
      </x:c>
    </x:row>
    <x:row r="64" ht="25" customHeight="1">
      <x:c r="A64" s="12"/>
      <x:c r="B64" s="12"/>
      <x:c r="C64" s="5"/>
      <x:c r="D64" s="12"/>
      <x:c r="E64" s="13"/>
      <x:c r="F64" s="12"/>
      <x:c r="G64" s="2" t="str">
        <x:f>IF(A64="",IF(COUNTA(B64:F64)&gt;0,"Isi ID pembayaran",""),IF(COUNTIF($A$9:$A$108,A64)&gt;1,"ID duplikat",IF(COUNTIF(Proyek!$A$9:$A$108,B64)&lt;&gt;1,"Periksa ID proyek",IF(OR(C64="",D64="",E64="",E64&lt;=0),"Lengkapi input",""))))</x:f>
      </x:c>
    </x:row>
    <x:row r="65" ht="25" customHeight="1">
      <x:c r="A65" s="12"/>
      <x:c r="B65" s="12"/>
      <x:c r="C65" s="5"/>
      <x:c r="D65" s="12"/>
      <x:c r="E65" s="13"/>
      <x:c r="F65" s="12"/>
      <x:c r="G65" s="2" t="str">
        <x:f>IF(A65="",IF(COUNTA(B65:F65)&gt;0,"Isi ID pembayaran",""),IF(COUNTIF($A$9:$A$108,A65)&gt;1,"ID duplikat",IF(COUNTIF(Proyek!$A$9:$A$108,B65)&lt;&gt;1,"Periksa ID proyek",IF(OR(C65="",D65="",E65="",E65&lt;=0),"Lengkapi input",""))))</x:f>
      </x:c>
    </x:row>
    <x:row r="66" ht="25" customHeight="1">
      <x:c r="A66" s="12"/>
      <x:c r="B66" s="12"/>
      <x:c r="C66" s="5"/>
      <x:c r="D66" s="12"/>
      <x:c r="E66" s="13"/>
      <x:c r="F66" s="12"/>
      <x:c r="G66" s="2" t="str">
        <x:f>IF(A66="",IF(COUNTA(B66:F66)&gt;0,"Isi ID pembayaran",""),IF(COUNTIF($A$9:$A$108,A66)&gt;1,"ID duplikat",IF(COUNTIF(Proyek!$A$9:$A$108,B66)&lt;&gt;1,"Periksa ID proyek",IF(OR(C66="",D66="",E66="",E66&lt;=0),"Lengkapi input",""))))</x:f>
      </x:c>
    </x:row>
    <x:row r="67" ht="25" customHeight="1">
      <x:c r="A67" s="12"/>
      <x:c r="B67" s="12"/>
      <x:c r="C67" s="5"/>
      <x:c r="D67" s="12"/>
      <x:c r="E67" s="13"/>
      <x:c r="F67" s="12"/>
      <x:c r="G67" s="2" t="str">
        <x:f>IF(A67="",IF(COUNTA(B67:F67)&gt;0,"Isi ID pembayaran",""),IF(COUNTIF($A$9:$A$108,A67)&gt;1,"ID duplikat",IF(COUNTIF(Proyek!$A$9:$A$108,B67)&lt;&gt;1,"Periksa ID proyek",IF(OR(C67="",D67="",E67="",E67&lt;=0),"Lengkapi input",""))))</x:f>
      </x:c>
    </x:row>
    <x:row r="68" ht="25" customHeight="1">
      <x:c r="A68" s="12"/>
      <x:c r="B68" s="12"/>
      <x:c r="C68" s="5"/>
      <x:c r="D68" s="12"/>
      <x:c r="E68" s="13"/>
      <x:c r="F68" s="12"/>
      <x:c r="G68" s="2" t="str">
        <x:f>IF(A68="",IF(COUNTA(B68:F68)&gt;0,"Isi ID pembayaran",""),IF(COUNTIF($A$9:$A$108,A68)&gt;1,"ID duplikat",IF(COUNTIF(Proyek!$A$9:$A$108,B68)&lt;&gt;1,"Periksa ID proyek",IF(OR(C68="",D68="",E68="",E68&lt;=0),"Lengkapi input",""))))</x:f>
      </x:c>
    </x:row>
    <x:row r="69" ht="25" customHeight="1">
      <x:c r="A69" s="12"/>
      <x:c r="B69" s="12"/>
      <x:c r="C69" s="5"/>
      <x:c r="D69" s="12"/>
      <x:c r="E69" s="13"/>
      <x:c r="F69" s="12"/>
      <x:c r="G69" s="2" t="str">
        <x:f>IF(A69="",IF(COUNTA(B69:F69)&gt;0,"Isi ID pembayaran",""),IF(COUNTIF($A$9:$A$108,A69)&gt;1,"ID duplikat",IF(COUNTIF(Proyek!$A$9:$A$108,B69)&lt;&gt;1,"Periksa ID proyek",IF(OR(C69="",D69="",E69="",E69&lt;=0),"Lengkapi input",""))))</x:f>
      </x:c>
    </x:row>
    <x:row r="70" ht="25" customHeight="1">
      <x:c r="A70" s="12"/>
      <x:c r="B70" s="12"/>
      <x:c r="C70" s="5"/>
      <x:c r="D70" s="12"/>
      <x:c r="E70" s="13"/>
      <x:c r="F70" s="12"/>
      <x:c r="G70" s="2" t="str">
        <x:f>IF(A70="",IF(COUNTA(B70:F70)&gt;0,"Isi ID pembayaran",""),IF(COUNTIF($A$9:$A$108,A70)&gt;1,"ID duplikat",IF(COUNTIF(Proyek!$A$9:$A$108,B70)&lt;&gt;1,"Periksa ID proyek",IF(OR(C70="",D70="",E70="",E70&lt;=0),"Lengkapi input",""))))</x:f>
      </x:c>
    </x:row>
    <x:row r="71" ht="25" customHeight="1">
      <x:c r="A71" s="12"/>
      <x:c r="B71" s="12"/>
      <x:c r="C71" s="5"/>
      <x:c r="D71" s="12"/>
      <x:c r="E71" s="13"/>
      <x:c r="F71" s="12"/>
      <x:c r="G71" s="2" t="str">
        <x:f>IF(A71="",IF(COUNTA(B71:F71)&gt;0,"Isi ID pembayaran",""),IF(COUNTIF($A$9:$A$108,A71)&gt;1,"ID duplikat",IF(COUNTIF(Proyek!$A$9:$A$108,B71)&lt;&gt;1,"Periksa ID proyek",IF(OR(C71="",D71="",E71="",E71&lt;=0),"Lengkapi input",""))))</x:f>
      </x:c>
    </x:row>
    <x:row r="72" ht="25" customHeight="1">
      <x:c r="A72" s="12"/>
      <x:c r="B72" s="12"/>
      <x:c r="C72" s="5"/>
      <x:c r="D72" s="12"/>
      <x:c r="E72" s="13"/>
      <x:c r="F72" s="12"/>
      <x:c r="G72" s="2" t="str">
        <x:f>IF(A72="",IF(COUNTA(B72:F72)&gt;0,"Isi ID pembayaran",""),IF(COUNTIF($A$9:$A$108,A72)&gt;1,"ID duplikat",IF(COUNTIF(Proyek!$A$9:$A$108,B72)&lt;&gt;1,"Periksa ID proyek",IF(OR(C72="",D72="",E72="",E72&lt;=0),"Lengkapi input",""))))</x:f>
      </x:c>
    </x:row>
    <x:row r="73" ht="25" customHeight="1">
      <x:c r="A73" s="12"/>
      <x:c r="B73" s="12"/>
      <x:c r="C73" s="5"/>
      <x:c r="D73" s="12"/>
      <x:c r="E73" s="13"/>
      <x:c r="F73" s="12"/>
      <x:c r="G73" s="2" t="str">
        <x:f>IF(A73="",IF(COUNTA(B73:F73)&gt;0,"Isi ID pembayaran",""),IF(COUNTIF($A$9:$A$108,A73)&gt;1,"ID duplikat",IF(COUNTIF(Proyek!$A$9:$A$108,B73)&lt;&gt;1,"Periksa ID proyek",IF(OR(C73="",D73="",E73="",E73&lt;=0),"Lengkapi input",""))))</x:f>
      </x:c>
    </x:row>
    <x:row r="74" ht="25" customHeight="1">
      <x:c r="A74" s="12"/>
      <x:c r="B74" s="12"/>
      <x:c r="C74" s="5"/>
      <x:c r="D74" s="12"/>
      <x:c r="E74" s="13"/>
      <x:c r="F74" s="12"/>
      <x:c r="G74" s="2" t="str">
        <x:f>IF(A74="",IF(COUNTA(B74:F74)&gt;0,"Isi ID pembayaran",""),IF(COUNTIF($A$9:$A$108,A74)&gt;1,"ID duplikat",IF(COUNTIF(Proyek!$A$9:$A$108,B74)&lt;&gt;1,"Periksa ID proyek",IF(OR(C74="",D74="",E74="",E74&lt;=0),"Lengkapi input",""))))</x:f>
      </x:c>
    </x:row>
    <x:row r="75" ht="25" customHeight="1">
      <x:c r="A75" s="12"/>
      <x:c r="B75" s="12"/>
      <x:c r="C75" s="5"/>
      <x:c r="D75" s="12"/>
      <x:c r="E75" s="13"/>
      <x:c r="F75" s="12"/>
      <x:c r="G75" s="2" t="str">
        <x:f>IF(A75="",IF(COUNTA(B75:F75)&gt;0,"Isi ID pembayaran",""),IF(COUNTIF($A$9:$A$108,A75)&gt;1,"ID duplikat",IF(COUNTIF(Proyek!$A$9:$A$108,B75)&lt;&gt;1,"Periksa ID proyek",IF(OR(C75="",D75="",E75="",E75&lt;=0),"Lengkapi input",""))))</x:f>
      </x:c>
    </x:row>
    <x:row r="76" ht="25" customHeight="1">
      <x:c r="A76" s="12"/>
      <x:c r="B76" s="12"/>
      <x:c r="C76" s="5"/>
      <x:c r="D76" s="12"/>
      <x:c r="E76" s="13"/>
      <x:c r="F76" s="12"/>
      <x:c r="G76" s="2" t="str">
        <x:f>IF(A76="",IF(COUNTA(B76:F76)&gt;0,"Isi ID pembayaran",""),IF(COUNTIF($A$9:$A$108,A76)&gt;1,"ID duplikat",IF(COUNTIF(Proyek!$A$9:$A$108,B76)&lt;&gt;1,"Periksa ID proyek",IF(OR(C76="",D76="",E76="",E76&lt;=0),"Lengkapi input",""))))</x:f>
      </x:c>
    </x:row>
    <x:row r="77" ht="25" customHeight="1">
      <x:c r="A77" s="12"/>
      <x:c r="B77" s="12"/>
      <x:c r="C77" s="5"/>
      <x:c r="D77" s="12"/>
      <x:c r="E77" s="13"/>
      <x:c r="F77" s="12"/>
      <x:c r="G77" s="2" t="str">
        <x:f>IF(A77="",IF(COUNTA(B77:F77)&gt;0,"Isi ID pembayaran",""),IF(COUNTIF($A$9:$A$108,A77)&gt;1,"ID duplikat",IF(COUNTIF(Proyek!$A$9:$A$108,B77)&lt;&gt;1,"Periksa ID proyek",IF(OR(C77="",D77="",E77="",E77&lt;=0),"Lengkapi input",""))))</x:f>
      </x:c>
    </x:row>
    <x:row r="78" ht="25" customHeight="1">
      <x:c r="A78" s="12"/>
      <x:c r="B78" s="12"/>
      <x:c r="C78" s="5"/>
      <x:c r="D78" s="12"/>
      <x:c r="E78" s="13"/>
      <x:c r="F78" s="12"/>
      <x:c r="G78" s="2" t="str">
        <x:f>IF(A78="",IF(COUNTA(B78:F78)&gt;0,"Isi ID pembayaran",""),IF(COUNTIF($A$9:$A$108,A78)&gt;1,"ID duplikat",IF(COUNTIF(Proyek!$A$9:$A$108,B78)&lt;&gt;1,"Periksa ID proyek",IF(OR(C78="",D78="",E78="",E78&lt;=0),"Lengkapi input",""))))</x:f>
      </x:c>
    </x:row>
    <x:row r="79" ht="25" customHeight="1">
      <x:c r="A79" s="12"/>
      <x:c r="B79" s="12"/>
      <x:c r="C79" s="5"/>
      <x:c r="D79" s="12"/>
      <x:c r="E79" s="13"/>
      <x:c r="F79" s="12"/>
      <x:c r="G79" s="2" t="str">
        <x:f>IF(A79="",IF(COUNTA(B79:F79)&gt;0,"Isi ID pembayaran",""),IF(COUNTIF($A$9:$A$108,A79)&gt;1,"ID duplikat",IF(COUNTIF(Proyek!$A$9:$A$108,B79)&lt;&gt;1,"Periksa ID proyek",IF(OR(C79="",D79="",E79="",E79&lt;=0),"Lengkapi input",""))))</x:f>
      </x:c>
    </x:row>
    <x:row r="80" ht="25" customHeight="1">
      <x:c r="A80" s="12"/>
      <x:c r="B80" s="12"/>
      <x:c r="C80" s="5"/>
      <x:c r="D80" s="12"/>
      <x:c r="E80" s="13"/>
      <x:c r="F80" s="12"/>
      <x:c r="G80" s="2" t="str">
        <x:f>IF(A80="",IF(COUNTA(B80:F80)&gt;0,"Isi ID pembayaran",""),IF(COUNTIF($A$9:$A$108,A80)&gt;1,"ID duplikat",IF(COUNTIF(Proyek!$A$9:$A$108,B80)&lt;&gt;1,"Periksa ID proyek",IF(OR(C80="",D80="",E80="",E80&lt;=0),"Lengkapi input",""))))</x:f>
      </x:c>
    </x:row>
    <x:row r="81" ht="25" customHeight="1">
      <x:c r="A81" s="12"/>
      <x:c r="B81" s="12"/>
      <x:c r="C81" s="5"/>
      <x:c r="D81" s="12"/>
      <x:c r="E81" s="13"/>
      <x:c r="F81" s="12"/>
      <x:c r="G81" s="2" t="str">
        <x:f>IF(A81="",IF(COUNTA(B81:F81)&gt;0,"Isi ID pembayaran",""),IF(COUNTIF($A$9:$A$108,A81)&gt;1,"ID duplikat",IF(COUNTIF(Proyek!$A$9:$A$108,B81)&lt;&gt;1,"Periksa ID proyek",IF(OR(C81="",D81="",E81="",E81&lt;=0),"Lengkapi input",""))))</x:f>
      </x:c>
    </x:row>
    <x:row r="82" ht="25" customHeight="1">
      <x:c r="A82" s="12"/>
      <x:c r="B82" s="12"/>
      <x:c r="C82" s="5"/>
      <x:c r="D82" s="12"/>
      <x:c r="E82" s="13"/>
      <x:c r="F82" s="12"/>
      <x:c r="G82" s="2" t="str">
        <x:f>IF(A82="",IF(COUNTA(B82:F82)&gt;0,"Isi ID pembayaran",""),IF(COUNTIF($A$9:$A$108,A82)&gt;1,"ID duplikat",IF(COUNTIF(Proyek!$A$9:$A$108,B82)&lt;&gt;1,"Periksa ID proyek",IF(OR(C82="",D82="",E82="",E82&lt;=0),"Lengkapi input",""))))</x:f>
      </x:c>
    </x:row>
    <x:row r="83" ht="25" customHeight="1">
      <x:c r="A83" s="12"/>
      <x:c r="B83" s="12"/>
      <x:c r="C83" s="5"/>
      <x:c r="D83" s="12"/>
      <x:c r="E83" s="13"/>
      <x:c r="F83" s="12"/>
      <x:c r="G83" s="2" t="str">
        <x:f>IF(A83="",IF(COUNTA(B83:F83)&gt;0,"Isi ID pembayaran",""),IF(COUNTIF($A$9:$A$108,A83)&gt;1,"ID duplikat",IF(COUNTIF(Proyek!$A$9:$A$108,B83)&lt;&gt;1,"Periksa ID proyek",IF(OR(C83="",D83="",E83="",E83&lt;=0),"Lengkapi input",""))))</x:f>
      </x:c>
    </x:row>
    <x:row r="84" ht="25" customHeight="1">
      <x:c r="A84" s="12"/>
      <x:c r="B84" s="12"/>
      <x:c r="C84" s="5"/>
      <x:c r="D84" s="12"/>
      <x:c r="E84" s="13"/>
      <x:c r="F84" s="12"/>
      <x:c r="G84" s="2" t="str">
        <x:f>IF(A84="",IF(COUNTA(B84:F84)&gt;0,"Isi ID pembayaran",""),IF(COUNTIF($A$9:$A$108,A84)&gt;1,"ID duplikat",IF(COUNTIF(Proyek!$A$9:$A$108,B84)&lt;&gt;1,"Periksa ID proyek",IF(OR(C84="",D84="",E84="",E84&lt;=0),"Lengkapi input",""))))</x:f>
      </x:c>
    </x:row>
    <x:row r="85" ht="25" customHeight="1">
      <x:c r="A85" s="12"/>
      <x:c r="B85" s="12"/>
      <x:c r="C85" s="5"/>
      <x:c r="D85" s="12"/>
      <x:c r="E85" s="13"/>
      <x:c r="F85" s="12"/>
      <x:c r="G85" s="2" t="str">
        <x:f>IF(A85="",IF(COUNTA(B85:F85)&gt;0,"Isi ID pembayaran",""),IF(COUNTIF($A$9:$A$108,A85)&gt;1,"ID duplikat",IF(COUNTIF(Proyek!$A$9:$A$108,B85)&lt;&gt;1,"Periksa ID proyek",IF(OR(C85="",D85="",E85="",E85&lt;=0),"Lengkapi input",""))))</x:f>
      </x:c>
    </x:row>
    <x:row r="86" ht="25" customHeight="1">
      <x:c r="A86" s="12"/>
      <x:c r="B86" s="12"/>
      <x:c r="C86" s="5"/>
      <x:c r="D86" s="12"/>
      <x:c r="E86" s="13"/>
      <x:c r="F86" s="12"/>
      <x:c r="G86" s="2" t="str">
        <x:f>IF(A86="",IF(COUNTA(B86:F86)&gt;0,"Isi ID pembayaran",""),IF(COUNTIF($A$9:$A$108,A86)&gt;1,"ID duplikat",IF(COUNTIF(Proyek!$A$9:$A$108,B86)&lt;&gt;1,"Periksa ID proyek",IF(OR(C86="",D86="",E86="",E86&lt;=0),"Lengkapi input",""))))</x:f>
      </x:c>
    </x:row>
    <x:row r="87" ht="25" customHeight="1">
      <x:c r="A87" s="12"/>
      <x:c r="B87" s="12"/>
      <x:c r="C87" s="5"/>
      <x:c r="D87" s="12"/>
      <x:c r="E87" s="13"/>
      <x:c r="F87" s="12"/>
      <x:c r="G87" s="2" t="str">
        <x:f>IF(A87="",IF(COUNTA(B87:F87)&gt;0,"Isi ID pembayaran",""),IF(COUNTIF($A$9:$A$108,A87)&gt;1,"ID duplikat",IF(COUNTIF(Proyek!$A$9:$A$108,B87)&lt;&gt;1,"Periksa ID proyek",IF(OR(C87="",D87="",E87="",E87&lt;=0),"Lengkapi input",""))))</x:f>
      </x:c>
    </x:row>
    <x:row r="88" ht="25" customHeight="1">
      <x:c r="A88" s="12"/>
      <x:c r="B88" s="12"/>
      <x:c r="C88" s="5"/>
      <x:c r="D88" s="12"/>
      <x:c r="E88" s="13"/>
      <x:c r="F88" s="12"/>
      <x:c r="G88" s="2" t="str">
        <x:f>IF(A88="",IF(COUNTA(B88:F88)&gt;0,"Isi ID pembayaran",""),IF(COUNTIF($A$9:$A$108,A88)&gt;1,"ID duplikat",IF(COUNTIF(Proyek!$A$9:$A$108,B88)&lt;&gt;1,"Periksa ID proyek",IF(OR(C88="",D88="",E88="",E88&lt;=0),"Lengkapi input",""))))</x:f>
      </x:c>
    </x:row>
    <x:row r="89" ht="25" customHeight="1">
      <x:c r="A89" s="12"/>
      <x:c r="B89" s="12"/>
      <x:c r="C89" s="5"/>
      <x:c r="D89" s="12"/>
      <x:c r="E89" s="13"/>
      <x:c r="F89" s="12"/>
      <x:c r="G89" s="2" t="str">
        <x:f>IF(A89="",IF(COUNTA(B89:F89)&gt;0,"Isi ID pembayaran",""),IF(COUNTIF($A$9:$A$108,A89)&gt;1,"ID duplikat",IF(COUNTIF(Proyek!$A$9:$A$108,B89)&lt;&gt;1,"Periksa ID proyek",IF(OR(C89="",D89="",E89="",E89&lt;=0),"Lengkapi input",""))))</x:f>
      </x:c>
    </x:row>
    <x:row r="90" ht="25" customHeight="1">
      <x:c r="A90" s="12"/>
      <x:c r="B90" s="12"/>
      <x:c r="C90" s="5"/>
      <x:c r="D90" s="12"/>
      <x:c r="E90" s="13"/>
      <x:c r="F90" s="12"/>
      <x:c r="G90" s="2" t="str">
        <x:f>IF(A90="",IF(COUNTA(B90:F90)&gt;0,"Isi ID pembayaran",""),IF(COUNTIF($A$9:$A$108,A90)&gt;1,"ID duplikat",IF(COUNTIF(Proyek!$A$9:$A$108,B90)&lt;&gt;1,"Periksa ID proyek",IF(OR(C90="",D90="",E90="",E90&lt;=0),"Lengkapi input",""))))</x:f>
      </x:c>
    </x:row>
    <x:row r="91" ht="25" customHeight="1">
      <x:c r="A91" s="12"/>
      <x:c r="B91" s="12"/>
      <x:c r="C91" s="5"/>
      <x:c r="D91" s="12"/>
      <x:c r="E91" s="13"/>
      <x:c r="F91" s="12"/>
      <x:c r="G91" s="2" t="str">
        <x:f>IF(A91="",IF(COUNTA(B91:F91)&gt;0,"Isi ID pembayaran",""),IF(COUNTIF($A$9:$A$108,A91)&gt;1,"ID duplikat",IF(COUNTIF(Proyek!$A$9:$A$108,B91)&lt;&gt;1,"Periksa ID proyek",IF(OR(C91="",D91="",E91="",E91&lt;=0),"Lengkapi input",""))))</x:f>
      </x:c>
    </x:row>
    <x:row r="92" ht="25" customHeight="1">
      <x:c r="A92" s="12"/>
      <x:c r="B92" s="12"/>
      <x:c r="C92" s="5"/>
      <x:c r="D92" s="12"/>
      <x:c r="E92" s="13"/>
      <x:c r="F92" s="12"/>
      <x:c r="G92" s="2" t="str">
        <x:f>IF(A92="",IF(COUNTA(B92:F92)&gt;0,"Isi ID pembayaran",""),IF(COUNTIF($A$9:$A$108,A92)&gt;1,"ID duplikat",IF(COUNTIF(Proyek!$A$9:$A$108,B92)&lt;&gt;1,"Periksa ID proyek",IF(OR(C92="",D92="",E92="",E92&lt;=0),"Lengkapi input",""))))</x:f>
      </x:c>
    </x:row>
    <x:row r="93" ht="25" customHeight="1">
      <x:c r="A93" s="12"/>
      <x:c r="B93" s="12"/>
      <x:c r="C93" s="5"/>
      <x:c r="D93" s="12"/>
      <x:c r="E93" s="13"/>
      <x:c r="F93" s="12"/>
      <x:c r="G93" s="2" t="str">
        <x:f>IF(A93="",IF(COUNTA(B93:F93)&gt;0,"Isi ID pembayaran",""),IF(COUNTIF($A$9:$A$108,A93)&gt;1,"ID duplikat",IF(COUNTIF(Proyek!$A$9:$A$108,B93)&lt;&gt;1,"Periksa ID proyek",IF(OR(C93="",D93="",E93="",E93&lt;=0),"Lengkapi input",""))))</x:f>
      </x:c>
    </x:row>
    <x:row r="94" ht="25" customHeight="1">
      <x:c r="A94" s="12"/>
      <x:c r="B94" s="12"/>
      <x:c r="C94" s="5"/>
      <x:c r="D94" s="12"/>
      <x:c r="E94" s="13"/>
      <x:c r="F94" s="12"/>
      <x:c r="G94" s="2" t="str">
        <x:f>IF(A94="",IF(COUNTA(B94:F94)&gt;0,"Isi ID pembayaran",""),IF(COUNTIF($A$9:$A$108,A94)&gt;1,"ID duplikat",IF(COUNTIF(Proyek!$A$9:$A$108,B94)&lt;&gt;1,"Periksa ID proyek",IF(OR(C94="",D94="",E94="",E94&lt;=0),"Lengkapi input",""))))</x:f>
      </x:c>
    </x:row>
    <x:row r="95" ht="25" customHeight="1">
      <x:c r="A95" s="12"/>
      <x:c r="B95" s="12"/>
      <x:c r="C95" s="5"/>
      <x:c r="D95" s="12"/>
      <x:c r="E95" s="13"/>
      <x:c r="F95" s="12"/>
      <x:c r="G95" s="2" t="str">
        <x:f>IF(A95="",IF(COUNTA(B95:F95)&gt;0,"Isi ID pembayaran",""),IF(COUNTIF($A$9:$A$108,A95)&gt;1,"ID duplikat",IF(COUNTIF(Proyek!$A$9:$A$108,B95)&lt;&gt;1,"Periksa ID proyek",IF(OR(C95="",D95="",E95="",E95&lt;=0),"Lengkapi input",""))))</x:f>
      </x:c>
    </x:row>
    <x:row r="96" ht="25" customHeight="1">
      <x:c r="A96" s="12"/>
      <x:c r="B96" s="12"/>
      <x:c r="C96" s="5"/>
      <x:c r="D96" s="12"/>
      <x:c r="E96" s="13"/>
      <x:c r="F96" s="12"/>
      <x:c r="G96" s="2" t="str">
        <x:f>IF(A96="",IF(COUNTA(B96:F96)&gt;0,"Isi ID pembayaran",""),IF(COUNTIF($A$9:$A$108,A96)&gt;1,"ID duplikat",IF(COUNTIF(Proyek!$A$9:$A$108,B96)&lt;&gt;1,"Periksa ID proyek",IF(OR(C96="",D96="",E96="",E96&lt;=0),"Lengkapi input",""))))</x:f>
      </x:c>
    </x:row>
    <x:row r="97" ht="25" customHeight="1">
      <x:c r="A97" s="12"/>
      <x:c r="B97" s="12"/>
      <x:c r="C97" s="5"/>
      <x:c r="D97" s="12"/>
      <x:c r="E97" s="13"/>
      <x:c r="F97" s="12"/>
      <x:c r="G97" s="2" t="str">
        <x:f>IF(A97="",IF(COUNTA(B97:F97)&gt;0,"Isi ID pembayaran",""),IF(COUNTIF($A$9:$A$108,A97)&gt;1,"ID duplikat",IF(COUNTIF(Proyek!$A$9:$A$108,B97)&lt;&gt;1,"Periksa ID proyek",IF(OR(C97="",D97="",E97="",E97&lt;=0),"Lengkapi input",""))))</x:f>
      </x:c>
    </x:row>
    <x:row r="98" ht="25" customHeight="1">
      <x:c r="A98" s="12"/>
      <x:c r="B98" s="12"/>
      <x:c r="C98" s="5"/>
      <x:c r="D98" s="12"/>
      <x:c r="E98" s="13"/>
      <x:c r="F98" s="12"/>
      <x:c r="G98" s="2" t="str">
        <x:f>IF(A98="",IF(COUNTA(B98:F98)&gt;0,"Isi ID pembayaran",""),IF(COUNTIF($A$9:$A$108,A98)&gt;1,"ID duplikat",IF(COUNTIF(Proyek!$A$9:$A$108,B98)&lt;&gt;1,"Periksa ID proyek",IF(OR(C98="",D98="",E98="",E98&lt;=0),"Lengkapi input",""))))</x:f>
      </x:c>
    </x:row>
    <x:row r="99" ht="25" customHeight="1">
      <x:c r="A99" s="12"/>
      <x:c r="B99" s="12"/>
      <x:c r="C99" s="5"/>
      <x:c r="D99" s="12"/>
      <x:c r="E99" s="13"/>
      <x:c r="F99" s="12"/>
      <x:c r="G99" s="2" t="str">
        <x:f>IF(A99="",IF(COUNTA(B99:F99)&gt;0,"Isi ID pembayaran",""),IF(COUNTIF($A$9:$A$108,A99)&gt;1,"ID duplikat",IF(COUNTIF(Proyek!$A$9:$A$108,B99)&lt;&gt;1,"Periksa ID proyek",IF(OR(C99="",D99="",E99="",E99&lt;=0),"Lengkapi input",""))))</x:f>
      </x:c>
    </x:row>
    <x:row r="100" ht="25" customHeight="1">
      <x:c r="A100" s="12"/>
      <x:c r="B100" s="12"/>
      <x:c r="C100" s="5"/>
      <x:c r="D100" s="12"/>
      <x:c r="E100" s="13"/>
      <x:c r="F100" s="12"/>
      <x:c r="G100" s="2" t="str">
        <x:f>IF(A100="",IF(COUNTA(B100:F100)&gt;0,"Isi ID pembayaran",""),IF(COUNTIF($A$9:$A$108,A100)&gt;1,"ID duplikat",IF(COUNTIF(Proyek!$A$9:$A$108,B100)&lt;&gt;1,"Periksa ID proyek",IF(OR(C100="",D100="",E100="",E100&lt;=0),"Lengkapi input",""))))</x:f>
      </x:c>
    </x:row>
    <x:row r="101" ht="25" customHeight="1">
      <x:c r="A101" s="12"/>
      <x:c r="B101" s="12"/>
      <x:c r="C101" s="5"/>
      <x:c r="D101" s="12"/>
      <x:c r="E101" s="13"/>
      <x:c r="F101" s="12"/>
      <x:c r="G101" s="2" t="str">
        <x:f>IF(A101="",IF(COUNTA(B101:F101)&gt;0,"Isi ID pembayaran",""),IF(COUNTIF($A$9:$A$108,A101)&gt;1,"ID duplikat",IF(COUNTIF(Proyek!$A$9:$A$108,B101)&lt;&gt;1,"Periksa ID proyek",IF(OR(C101="",D101="",E101="",E101&lt;=0),"Lengkapi input",""))))</x:f>
      </x:c>
    </x:row>
    <x:row r="102" ht="25" customHeight="1">
      <x:c r="A102" s="12"/>
      <x:c r="B102" s="12"/>
      <x:c r="C102" s="5"/>
      <x:c r="D102" s="12"/>
      <x:c r="E102" s="13"/>
      <x:c r="F102" s="12"/>
      <x:c r="G102" s="2" t="str">
        <x:f>IF(A102="",IF(COUNTA(B102:F102)&gt;0,"Isi ID pembayaran",""),IF(COUNTIF($A$9:$A$108,A102)&gt;1,"ID duplikat",IF(COUNTIF(Proyek!$A$9:$A$108,B102)&lt;&gt;1,"Periksa ID proyek",IF(OR(C102="",D102="",E102="",E102&lt;=0),"Lengkapi input",""))))</x:f>
      </x:c>
    </x:row>
    <x:row r="103" ht="25" customHeight="1">
      <x:c r="A103" s="12"/>
      <x:c r="B103" s="12"/>
      <x:c r="C103" s="5"/>
      <x:c r="D103" s="12"/>
      <x:c r="E103" s="13"/>
      <x:c r="F103" s="12"/>
      <x:c r="G103" s="2" t="str">
        <x:f>IF(A103="",IF(COUNTA(B103:F103)&gt;0,"Isi ID pembayaran",""),IF(COUNTIF($A$9:$A$108,A103)&gt;1,"ID duplikat",IF(COUNTIF(Proyek!$A$9:$A$108,B103)&lt;&gt;1,"Periksa ID proyek",IF(OR(C103="",D103="",E103="",E103&lt;=0),"Lengkapi input",""))))</x:f>
      </x:c>
    </x:row>
    <x:row r="104" ht="25" customHeight="1">
      <x:c r="A104" s="12"/>
      <x:c r="B104" s="12"/>
      <x:c r="C104" s="5"/>
      <x:c r="D104" s="12"/>
      <x:c r="E104" s="13"/>
      <x:c r="F104" s="12"/>
      <x:c r="G104" s="2" t="str">
        <x:f>IF(A104="",IF(COUNTA(B104:F104)&gt;0,"Isi ID pembayaran",""),IF(COUNTIF($A$9:$A$108,A104)&gt;1,"ID duplikat",IF(COUNTIF(Proyek!$A$9:$A$108,B104)&lt;&gt;1,"Periksa ID proyek",IF(OR(C104="",D104="",E104="",E104&lt;=0),"Lengkapi input",""))))</x:f>
      </x:c>
    </x:row>
    <x:row r="105" ht="25" customHeight="1">
      <x:c r="A105" s="12"/>
      <x:c r="B105" s="12"/>
      <x:c r="C105" s="5"/>
      <x:c r="D105" s="12"/>
      <x:c r="E105" s="13"/>
      <x:c r="F105" s="12"/>
      <x:c r="G105" s="2" t="str">
        <x:f>IF(A105="",IF(COUNTA(B105:F105)&gt;0,"Isi ID pembayaran",""),IF(COUNTIF($A$9:$A$108,A105)&gt;1,"ID duplikat",IF(COUNTIF(Proyek!$A$9:$A$108,B105)&lt;&gt;1,"Periksa ID proyek",IF(OR(C105="",D105="",E105="",E105&lt;=0),"Lengkapi input",""))))</x:f>
      </x:c>
    </x:row>
    <x:row r="106" ht="25" customHeight="1">
      <x:c r="A106" s="12"/>
      <x:c r="B106" s="12"/>
      <x:c r="C106" s="5"/>
      <x:c r="D106" s="12"/>
      <x:c r="E106" s="13"/>
      <x:c r="F106" s="12"/>
      <x:c r="G106" s="2" t="str">
        <x:f>IF(A106="",IF(COUNTA(B106:F106)&gt;0,"Isi ID pembayaran",""),IF(COUNTIF($A$9:$A$108,A106)&gt;1,"ID duplikat",IF(COUNTIF(Proyek!$A$9:$A$108,B106)&lt;&gt;1,"Periksa ID proyek",IF(OR(C106="",D106="",E106="",E106&lt;=0),"Lengkapi input",""))))</x:f>
      </x:c>
    </x:row>
    <x:row r="107" ht="25" customHeight="1">
      <x:c r="A107" s="12"/>
      <x:c r="B107" s="12"/>
      <x:c r="C107" s="5"/>
      <x:c r="D107" s="12"/>
      <x:c r="E107" s="13"/>
      <x:c r="F107" s="12"/>
      <x:c r="G107" s="2" t="str">
        <x:f>IF(A107="",IF(COUNTA(B107:F107)&gt;0,"Isi ID pembayaran",""),IF(COUNTIF($A$9:$A$108,A107)&gt;1,"ID duplikat",IF(COUNTIF(Proyek!$A$9:$A$108,B107)&lt;&gt;1,"Periksa ID proyek",IF(OR(C107="",D107="",E107="",E107&lt;=0),"Lengkapi input",""))))</x:f>
      </x:c>
    </x:row>
    <x:row r="108" ht="25" customHeight="1">
      <x:c r="A108" s="12"/>
      <x:c r="B108" s="12"/>
      <x:c r="C108" s="5"/>
      <x:c r="D108" s="12"/>
      <x:c r="E108" s="13"/>
      <x:c r="F108" s="12"/>
      <x:c r="G108" s="2" t="str">
        <x:f>IF(A108="",IF(COUNTA(B108:F108)&gt;0,"Isi ID pembayaran",""),IF(COUNTIF($A$9:$A$108,A108)&gt;1,"ID duplikat",IF(COUNTIF(Proyek!$A$9:$A$108,B108)&lt;&gt;1,"Periksa ID proyek",IF(OR(C108="",D108="",E108="",E108&lt;=0),"Lengkapi input",""))))</x:f>
      </x:c>
    </x:row>
    <x:row r="109" ht="25" customHeight="1">
      <x:c r="A109" s="2"/>
      <x:c r="B109" s="2"/>
      <x:c r="C109" s="2"/>
      <x:c r="D109" s="2"/>
      <x:c r="E109" s="2"/>
      <x:c r="F109" s="2"/>
      <x:c r="G109" s="2"/>
    </x:row>
    <x:row r="110" ht="25" customHeight="1">
      <x:c r="A110" s="2"/>
      <x:c r="B110" s="2"/>
      <x:c r="C110" s="2"/>
      <x:c r="D110" s="2"/>
      <x:c r="E110" s="2"/>
      <x:c r="F110" s="2"/>
      <x:c r="G110" s="2"/>
    </x:row>
    <x:row r="111" ht="25" customHeight="1">
      <x:c r="A111" s="2"/>
      <x:c r="B111" s="2"/>
      <x:c r="C111" s="2"/>
      <x:c r="D111" s="2"/>
      <x:c r="E111" s="2"/>
      <x:c r="F111" s="2"/>
      <x:c r="G111" s="2"/>
    </x:row>
    <x:row r="112" ht="25" customHeight="1">
      <x:c r="A112" s="2"/>
      <x:c r="B112" s="2"/>
      <x:c r="C112" s="2"/>
      <x:c r="D112" s="2"/>
      <x:c r="E112" s="2"/>
      <x:c r="F112" s="2"/>
      <x:c r="G112" s="2"/>
    </x:row>
  </x:sheetData>
  <x:conditionalFormatting sqref="G9:G108">
    <x:cfRule type="expression" dxfId="1" priority="1">
      <x:formula>G9&lt;&gt;""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0762370a2348fe"/>
  </x:tableParts>
</x:worksheet>
</file>

<file path=xl/worksheets/sheet4.xml><?xml version="1.0" encoding="utf-8"?>
<x:worksheet xmlns:x="http://schemas.openxmlformats.org/spreadsheetml/2006/main">
  <x:sheetPr>
    <x:tabColor rgb="FF49634D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21" hidden="0" customWidth="1"/>
    <x:col min="2" max="2" width="23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23" hidden="0" customWidth="1"/>
    <x:col min="9" max="9" width="27" hidden="0" customWidth="1"/>
    <x:col min="10" max="10" width="2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Leads dan tindak lanjut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5" customHeight="1">
      <x:c r="A4" s="2" t="str">
        <x:v>Kontak bisnis minimum. Hormati izin komunikasi dan penolakan.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8" customHeight="1">
      <x:c r="A8" s="11" t="str">
        <x:v>ID lead</x:v>
      </x:c>
      <x:c r="B8" s="11" t="str">
        <x:v>Nama atau usaha</x:v>
      </x:c>
      <x:c r="C8" s="11" t="str">
        <x:v>Kontak bisnis</x:v>
      </x:c>
      <x:c r="D8" s="11" t="str">
        <x:v>Layanan</x:v>
      </x:c>
      <x:c r="E8" s="11" t="str">
        <x:v>Tahap</x:v>
      </x:c>
      <x:c r="F8" s="11" t="str">
        <x:v>Nilai peluang Rp</x:v>
      </x:c>
      <x:c r="G8" s="11" t="str">
        <x:v>Tindakan berikutnya</x:v>
      </x:c>
      <x:c r="H8" s="11" t="str">
        <x:v>Tanggal follow up</x:v>
      </x:c>
      <x:c r="I8" s="11" t="str">
        <x:v>Catatan</x:v>
      </x:c>
      <x:c r="J8" s="11" t="str">
        <x:v>Perhatian</x:v>
      </x:c>
    </x:row>
    <x:row r="9" ht="25" customHeight="1">
      <x:c r="A9" s="12" t="str">
        <x:v>LEAD-DEMO-001</x:v>
      </x:c>
      <x:c r="B9" s="12" t="str">
        <x:v>CONTOH Prospek</x:v>
      </x:c>
      <x:c r="C9" s="12" t="str">
        <x:v>Belum dihubungi</x:v>
      </x:c>
      <x:c r="D9" s="12" t="str">
        <x:v>Landing page</x:v>
      </x:c>
      <x:c r="E9" s="12" t="str">
        <x:v>Baru</x:v>
      </x:c>
      <x:c r="F9" s="13"/>
      <x:c r="G9" s="12" t="str">
        <x:v>Validasi kebutuhan</x:v>
      </x:c>
      <x:c r="H9" s="5" t="d">
        <x:v>2026-10-19T00:00:00.000Z</x:v>
      </x:c>
      <x:c r="I9" s="12" t="str">
        <x:v>Simulasi tanpa data pribadi</x:v>
      </x:c>
      <x:c r="J9" s="2" t="str">
        <x:f>IF(A9="","",IF(COUNTIF($A$9:$A$108,A9)&gt;1,"ID duplikat",IF(OR(E9="",G9="",H9=""),"Lengkapi input",IF(AND(E9&lt;&gt;"Menang",E9&lt;&gt;"Kalah",H9&lt;=Ringkasan!$B$3),"Tindak lanjut",""))))</x:f>
        <x:v>Tindak lanjut</x:v>
      </x:c>
    </x:row>
    <x:row r="10" ht="25" customHeight="1">
      <x:c r="A10" s="12"/>
      <x:c r="B10" s="12"/>
      <x:c r="C10" s="12"/>
      <x:c r="D10" s="12"/>
      <x:c r="E10" s="12"/>
      <x:c r="F10" s="13"/>
      <x:c r="G10" s="12"/>
      <x:c r="H10" s="5"/>
      <x:c r="I10" s="12"/>
      <x:c r="J10" s="2" t="str">
        <x:f>IF(A10="","",IF(COUNTIF($A$9:$A$108,A10)&gt;1,"ID duplikat",IF(OR(E10="",G10="",H10=""),"Lengkapi input",IF(AND(E10&lt;&gt;"Menang",E10&lt;&gt;"Kalah",H10&lt;=Ringkasan!$B$3),"Tindak lanjut",""))))</x:f>
      </x:c>
    </x:row>
    <x:row r="11" ht="25" customHeight="1">
      <x:c r="A11" s="12"/>
      <x:c r="B11" s="12"/>
      <x:c r="C11" s="12"/>
      <x:c r="D11" s="12"/>
      <x:c r="E11" s="12"/>
      <x:c r="F11" s="13"/>
      <x:c r="G11" s="12"/>
      <x:c r="H11" s="5"/>
      <x:c r="I11" s="12"/>
      <x:c r="J11" s="2" t="str">
        <x:f>IF(A11="","",IF(COUNTIF($A$9:$A$108,A11)&gt;1,"ID duplikat",IF(OR(E11="",G11="",H11=""),"Lengkapi input",IF(AND(E11&lt;&gt;"Menang",E11&lt;&gt;"Kalah",H11&lt;=Ringkasan!$B$3),"Tindak lanjut",""))))</x:f>
      </x:c>
    </x:row>
    <x:row r="12" ht="25" customHeight="1">
      <x:c r="A12" s="12"/>
      <x:c r="B12" s="12"/>
      <x:c r="C12" s="12"/>
      <x:c r="D12" s="12"/>
      <x:c r="E12" s="12"/>
      <x:c r="F12" s="13"/>
      <x:c r="G12" s="12"/>
      <x:c r="H12" s="5"/>
      <x:c r="I12" s="12"/>
      <x:c r="J12" s="2" t="str">
        <x:f>IF(A12="","",IF(COUNTIF($A$9:$A$108,A12)&gt;1,"ID duplikat",IF(OR(E12="",G12="",H12=""),"Lengkapi input",IF(AND(E12&lt;&gt;"Menang",E12&lt;&gt;"Kalah",H12&lt;=Ringkasan!$B$3),"Tindak lanjut",""))))</x:f>
      </x:c>
    </x:row>
    <x:row r="13" ht="25" customHeight="1">
      <x:c r="A13" s="12"/>
      <x:c r="B13" s="12"/>
      <x:c r="C13" s="12"/>
      <x:c r="D13" s="12"/>
      <x:c r="E13" s="12"/>
      <x:c r="F13" s="13"/>
      <x:c r="G13" s="12"/>
      <x:c r="H13" s="5"/>
      <x:c r="I13" s="12"/>
      <x:c r="J13" s="2" t="str">
        <x:f>IF(A13="","",IF(COUNTIF($A$9:$A$108,A13)&gt;1,"ID duplikat",IF(OR(E13="",G13="",H13=""),"Lengkapi input",IF(AND(E13&lt;&gt;"Menang",E13&lt;&gt;"Kalah",H13&lt;=Ringkasan!$B$3),"Tindak lanjut",""))))</x:f>
      </x:c>
    </x:row>
    <x:row r="14" ht="25" customHeight="1">
      <x:c r="A14" s="12"/>
      <x:c r="B14" s="12"/>
      <x:c r="C14" s="12"/>
      <x:c r="D14" s="12"/>
      <x:c r="E14" s="12"/>
      <x:c r="F14" s="13"/>
      <x:c r="G14" s="12"/>
      <x:c r="H14" s="5"/>
      <x:c r="I14" s="12"/>
      <x:c r="J14" s="2" t="str">
        <x:f>IF(A14="","",IF(COUNTIF($A$9:$A$108,A14)&gt;1,"ID duplikat",IF(OR(E14="",G14="",H14=""),"Lengkapi input",IF(AND(E14&lt;&gt;"Menang",E14&lt;&gt;"Kalah",H14&lt;=Ringkasan!$B$3),"Tindak lanjut",""))))</x:f>
      </x:c>
    </x:row>
    <x:row r="15" ht="25" customHeight="1">
      <x:c r="A15" s="12"/>
      <x:c r="B15" s="12"/>
      <x:c r="C15" s="12"/>
      <x:c r="D15" s="12"/>
      <x:c r="E15" s="12"/>
      <x:c r="F15" s="13"/>
      <x:c r="G15" s="12"/>
      <x:c r="H15" s="5"/>
      <x:c r="I15" s="12"/>
      <x:c r="J15" s="2" t="str">
        <x:f>IF(A15="","",IF(COUNTIF($A$9:$A$108,A15)&gt;1,"ID duplikat",IF(OR(E15="",G15="",H15=""),"Lengkapi input",IF(AND(E15&lt;&gt;"Menang",E15&lt;&gt;"Kalah",H15&lt;=Ringkasan!$B$3),"Tindak lanjut",""))))</x:f>
      </x:c>
    </x:row>
    <x:row r="16" ht="25" customHeight="1">
      <x:c r="A16" s="12"/>
      <x:c r="B16" s="12"/>
      <x:c r="C16" s="12"/>
      <x:c r="D16" s="12"/>
      <x:c r="E16" s="12"/>
      <x:c r="F16" s="13"/>
      <x:c r="G16" s="12"/>
      <x:c r="H16" s="5"/>
      <x:c r="I16" s="12"/>
      <x:c r="J16" s="2" t="str">
        <x:f>IF(A16="","",IF(COUNTIF($A$9:$A$108,A16)&gt;1,"ID duplikat",IF(OR(E16="",G16="",H16=""),"Lengkapi input",IF(AND(E16&lt;&gt;"Menang",E16&lt;&gt;"Kalah",H16&lt;=Ringkasan!$B$3),"Tindak lanjut",""))))</x:f>
      </x:c>
    </x:row>
    <x:row r="17" ht="25" customHeight="1">
      <x:c r="A17" s="12"/>
      <x:c r="B17" s="12"/>
      <x:c r="C17" s="12"/>
      <x:c r="D17" s="12"/>
      <x:c r="E17" s="12"/>
      <x:c r="F17" s="13"/>
      <x:c r="G17" s="12"/>
      <x:c r="H17" s="5"/>
      <x:c r="I17" s="12"/>
      <x:c r="J17" s="2" t="str">
        <x:f>IF(A17="","",IF(COUNTIF($A$9:$A$108,A17)&gt;1,"ID duplikat",IF(OR(E17="",G17="",H17=""),"Lengkapi input",IF(AND(E17&lt;&gt;"Menang",E17&lt;&gt;"Kalah",H17&lt;=Ringkasan!$B$3),"Tindak lanjut",""))))</x:f>
      </x:c>
    </x:row>
    <x:row r="18" ht="25" customHeight="1">
      <x:c r="A18" s="12"/>
      <x:c r="B18" s="12"/>
      <x:c r="C18" s="12"/>
      <x:c r="D18" s="12"/>
      <x:c r="E18" s="12"/>
      <x:c r="F18" s="13"/>
      <x:c r="G18" s="12"/>
      <x:c r="H18" s="5"/>
      <x:c r="I18" s="12"/>
      <x:c r="J18" s="2" t="str">
        <x:f>IF(A18="","",IF(COUNTIF($A$9:$A$108,A18)&gt;1,"ID duplikat",IF(OR(E18="",G18="",H18=""),"Lengkapi input",IF(AND(E18&lt;&gt;"Menang",E18&lt;&gt;"Kalah",H18&lt;=Ringkasan!$B$3),"Tindak lanjut",""))))</x:f>
      </x:c>
    </x:row>
    <x:row r="19" ht="25" customHeight="1">
      <x:c r="A19" s="12"/>
      <x:c r="B19" s="12"/>
      <x:c r="C19" s="12"/>
      <x:c r="D19" s="12"/>
      <x:c r="E19" s="12"/>
      <x:c r="F19" s="13"/>
      <x:c r="G19" s="12"/>
      <x:c r="H19" s="5"/>
      <x:c r="I19" s="12"/>
      <x:c r="J19" s="2" t="str">
        <x:f>IF(A19="","",IF(COUNTIF($A$9:$A$108,A19)&gt;1,"ID duplikat",IF(OR(E19="",G19="",H19=""),"Lengkapi input",IF(AND(E19&lt;&gt;"Menang",E19&lt;&gt;"Kalah",H19&lt;=Ringkasan!$B$3),"Tindak lanjut",""))))</x:f>
      </x:c>
    </x:row>
    <x:row r="20" ht="25" customHeight="1">
      <x:c r="A20" s="12"/>
      <x:c r="B20" s="12"/>
      <x:c r="C20" s="12"/>
      <x:c r="D20" s="12"/>
      <x:c r="E20" s="12"/>
      <x:c r="F20" s="13"/>
      <x:c r="G20" s="12"/>
      <x:c r="H20" s="5"/>
      <x:c r="I20" s="12"/>
      <x:c r="J20" s="2" t="str">
        <x:f>IF(A20="","",IF(COUNTIF($A$9:$A$108,A20)&gt;1,"ID duplikat",IF(OR(E20="",G20="",H20=""),"Lengkapi input",IF(AND(E20&lt;&gt;"Menang",E20&lt;&gt;"Kalah",H20&lt;=Ringkasan!$B$3),"Tindak lanjut",""))))</x:f>
      </x:c>
    </x:row>
    <x:row r="21" ht="25" customHeight="1">
      <x:c r="A21" s="12"/>
      <x:c r="B21" s="12"/>
      <x:c r="C21" s="12"/>
      <x:c r="D21" s="12"/>
      <x:c r="E21" s="12"/>
      <x:c r="F21" s="13"/>
      <x:c r="G21" s="12"/>
      <x:c r="H21" s="5"/>
      <x:c r="I21" s="12"/>
      <x:c r="J21" s="2" t="str">
        <x:f>IF(A21="","",IF(COUNTIF($A$9:$A$108,A21)&gt;1,"ID duplikat",IF(OR(E21="",G21="",H21=""),"Lengkapi input",IF(AND(E21&lt;&gt;"Menang",E21&lt;&gt;"Kalah",H21&lt;=Ringkasan!$B$3),"Tindak lanjut",""))))</x:f>
      </x:c>
    </x:row>
    <x:row r="22" ht="25" customHeight="1">
      <x:c r="A22" s="12"/>
      <x:c r="B22" s="12"/>
      <x:c r="C22" s="12"/>
      <x:c r="D22" s="12"/>
      <x:c r="E22" s="12"/>
      <x:c r="F22" s="13"/>
      <x:c r="G22" s="12"/>
      <x:c r="H22" s="5"/>
      <x:c r="I22" s="12"/>
      <x:c r="J22" s="2" t="str">
        <x:f>IF(A22="","",IF(COUNTIF($A$9:$A$108,A22)&gt;1,"ID duplikat",IF(OR(E22="",G22="",H22=""),"Lengkapi input",IF(AND(E22&lt;&gt;"Menang",E22&lt;&gt;"Kalah",H22&lt;=Ringkasan!$B$3),"Tindak lanjut",""))))</x:f>
      </x:c>
    </x:row>
    <x:row r="23" ht="25" customHeight="1">
      <x:c r="A23" s="12"/>
      <x:c r="B23" s="12"/>
      <x:c r="C23" s="12"/>
      <x:c r="D23" s="12"/>
      <x:c r="E23" s="12"/>
      <x:c r="F23" s="13"/>
      <x:c r="G23" s="12"/>
      <x:c r="H23" s="5"/>
      <x:c r="I23" s="12"/>
      <x:c r="J23" s="2" t="str">
        <x:f>IF(A23="","",IF(COUNTIF($A$9:$A$108,A23)&gt;1,"ID duplikat",IF(OR(E23="",G23="",H23=""),"Lengkapi input",IF(AND(E23&lt;&gt;"Menang",E23&lt;&gt;"Kalah",H23&lt;=Ringkasan!$B$3),"Tindak lanjut",""))))</x:f>
      </x:c>
    </x:row>
    <x:row r="24" ht="25" customHeight="1">
      <x:c r="A24" s="12"/>
      <x:c r="B24" s="12"/>
      <x:c r="C24" s="12"/>
      <x:c r="D24" s="12"/>
      <x:c r="E24" s="12"/>
      <x:c r="F24" s="13"/>
      <x:c r="G24" s="12"/>
      <x:c r="H24" s="5"/>
      <x:c r="I24" s="12"/>
      <x:c r="J24" s="2" t="str">
        <x:f>IF(A24="","",IF(COUNTIF($A$9:$A$108,A24)&gt;1,"ID duplikat",IF(OR(E24="",G24="",H24=""),"Lengkapi input",IF(AND(E24&lt;&gt;"Menang",E24&lt;&gt;"Kalah",H24&lt;=Ringkasan!$B$3),"Tindak lanjut",""))))</x:f>
      </x:c>
    </x:row>
    <x:row r="25" ht="25" customHeight="1">
      <x:c r="A25" s="12"/>
      <x:c r="B25" s="12"/>
      <x:c r="C25" s="12"/>
      <x:c r="D25" s="12"/>
      <x:c r="E25" s="12"/>
      <x:c r="F25" s="13"/>
      <x:c r="G25" s="12"/>
      <x:c r="H25" s="5"/>
      <x:c r="I25" s="12"/>
      <x:c r="J25" s="2" t="str">
        <x:f>IF(A25="","",IF(COUNTIF($A$9:$A$108,A25)&gt;1,"ID duplikat",IF(OR(E25="",G25="",H25=""),"Lengkapi input",IF(AND(E25&lt;&gt;"Menang",E25&lt;&gt;"Kalah",H25&lt;=Ringkasan!$B$3),"Tindak lanjut",""))))</x:f>
      </x:c>
    </x:row>
    <x:row r="26" ht="25" customHeight="1">
      <x:c r="A26" s="12"/>
      <x:c r="B26" s="12"/>
      <x:c r="C26" s="12"/>
      <x:c r="D26" s="12"/>
      <x:c r="E26" s="12"/>
      <x:c r="F26" s="13"/>
      <x:c r="G26" s="12"/>
      <x:c r="H26" s="5"/>
      <x:c r="I26" s="12"/>
      <x:c r="J26" s="2" t="str">
        <x:f>IF(A26="","",IF(COUNTIF($A$9:$A$108,A26)&gt;1,"ID duplikat",IF(OR(E26="",G26="",H26=""),"Lengkapi input",IF(AND(E26&lt;&gt;"Menang",E26&lt;&gt;"Kalah",H26&lt;=Ringkasan!$B$3),"Tindak lanjut",""))))</x:f>
      </x:c>
    </x:row>
    <x:row r="27" ht="25" customHeight="1">
      <x:c r="A27" s="12"/>
      <x:c r="B27" s="12"/>
      <x:c r="C27" s="12"/>
      <x:c r="D27" s="12"/>
      <x:c r="E27" s="12"/>
      <x:c r="F27" s="13"/>
      <x:c r="G27" s="12"/>
      <x:c r="H27" s="5"/>
      <x:c r="I27" s="12"/>
      <x:c r="J27" s="2" t="str">
        <x:f>IF(A27="","",IF(COUNTIF($A$9:$A$108,A27)&gt;1,"ID duplikat",IF(OR(E27="",G27="",H27=""),"Lengkapi input",IF(AND(E27&lt;&gt;"Menang",E27&lt;&gt;"Kalah",H27&lt;=Ringkasan!$B$3),"Tindak lanjut",""))))</x:f>
      </x:c>
    </x:row>
    <x:row r="28" ht="25" customHeight="1">
      <x:c r="A28" s="12"/>
      <x:c r="B28" s="12"/>
      <x:c r="C28" s="12"/>
      <x:c r="D28" s="12"/>
      <x:c r="E28" s="12"/>
      <x:c r="F28" s="13"/>
      <x:c r="G28" s="12"/>
      <x:c r="H28" s="5"/>
      <x:c r="I28" s="12"/>
      <x:c r="J28" s="2" t="str">
        <x:f>IF(A28="","",IF(COUNTIF($A$9:$A$108,A28)&gt;1,"ID duplikat",IF(OR(E28="",G28="",H28=""),"Lengkapi input",IF(AND(E28&lt;&gt;"Menang",E28&lt;&gt;"Kalah",H28&lt;=Ringkasan!$B$3),"Tindak lanjut",""))))</x:f>
      </x:c>
    </x:row>
    <x:row r="29" ht="25" customHeight="1">
      <x:c r="A29" s="12"/>
      <x:c r="B29" s="12"/>
      <x:c r="C29" s="12"/>
      <x:c r="D29" s="12"/>
      <x:c r="E29" s="12"/>
      <x:c r="F29" s="13"/>
      <x:c r="G29" s="12"/>
      <x:c r="H29" s="5"/>
      <x:c r="I29" s="12"/>
      <x:c r="J29" s="2" t="str">
        <x:f>IF(A29="","",IF(COUNTIF($A$9:$A$108,A29)&gt;1,"ID duplikat",IF(OR(E29="",G29="",H29=""),"Lengkapi input",IF(AND(E29&lt;&gt;"Menang",E29&lt;&gt;"Kalah",H29&lt;=Ringkasan!$B$3),"Tindak lanjut",""))))</x:f>
      </x:c>
    </x:row>
    <x:row r="30" ht="25" customHeight="1">
      <x:c r="A30" s="12"/>
      <x:c r="B30" s="12"/>
      <x:c r="C30" s="12"/>
      <x:c r="D30" s="12"/>
      <x:c r="E30" s="12"/>
      <x:c r="F30" s="13"/>
      <x:c r="G30" s="12"/>
      <x:c r="H30" s="5"/>
      <x:c r="I30" s="12"/>
      <x:c r="J30" s="2" t="str">
        <x:f>IF(A30="","",IF(COUNTIF($A$9:$A$108,A30)&gt;1,"ID duplikat",IF(OR(E30="",G30="",H30=""),"Lengkapi input",IF(AND(E30&lt;&gt;"Menang",E30&lt;&gt;"Kalah",H30&lt;=Ringkasan!$B$3),"Tindak lanjut",""))))</x:f>
      </x:c>
    </x:row>
    <x:row r="31" ht="25" customHeight="1">
      <x:c r="A31" s="12"/>
      <x:c r="B31" s="12"/>
      <x:c r="C31" s="12"/>
      <x:c r="D31" s="12"/>
      <x:c r="E31" s="12"/>
      <x:c r="F31" s="13"/>
      <x:c r="G31" s="12"/>
      <x:c r="H31" s="5"/>
      <x:c r="I31" s="12"/>
      <x:c r="J31" s="2" t="str">
        <x:f>IF(A31="","",IF(COUNTIF($A$9:$A$108,A31)&gt;1,"ID duplikat",IF(OR(E31="",G31="",H31=""),"Lengkapi input",IF(AND(E31&lt;&gt;"Menang",E31&lt;&gt;"Kalah",H31&lt;=Ringkasan!$B$3),"Tindak lanjut",""))))</x:f>
      </x:c>
    </x:row>
    <x:row r="32" ht="25" customHeight="1">
      <x:c r="A32" s="12"/>
      <x:c r="B32" s="12"/>
      <x:c r="C32" s="12"/>
      <x:c r="D32" s="12"/>
      <x:c r="E32" s="12"/>
      <x:c r="F32" s="13"/>
      <x:c r="G32" s="12"/>
      <x:c r="H32" s="5"/>
      <x:c r="I32" s="12"/>
      <x:c r="J32" s="2" t="str">
        <x:f>IF(A32="","",IF(COUNTIF($A$9:$A$108,A32)&gt;1,"ID duplikat",IF(OR(E32="",G32="",H32=""),"Lengkapi input",IF(AND(E32&lt;&gt;"Menang",E32&lt;&gt;"Kalah",H32&lt;=Ringkasan!$B$3),"Tindak lanjut",""))))</x:f>
      </x:c>
    </x:row>
    <x:row r="33" ht="25" customHeight="1">
      <x:c r="A33" s="12"/>
      <x:c r="B33" s="12"/>
      <x:c r="C33" s="12"/>
      <x:c r="D33" s="12"/>
      <x:c r="E33" s="12"/>
      <x:c r="F33" s="13"/>
      <x:c r="G33" s="12"/>
      <x:c r="H33" s="5"/>
      <x:c r="I33" s="12"/>
      <x:c r="J33" s="2" t="str">
        <x:f>IF(A33="","",IF(COUNTIF($A$9:$A$108,A33)&gt;1,"ID duplikat",IF(OR(E33="",G33="",H33=""),"Lengkapi input",IF(AND(E33&lt;&gt;"Menang",E33&lt;&gt;"Kalah",H33&lt;=Ringkasan!$B$3),"Tindak lanjut",""))))</x:f>
      </x:c>
    </x:row>
    <x:row r="34" ht="25" customHeight="1">
      <x:c r="A34" s="12"/>
      <x:c r="B34" s="12"/>
      <x:c r="C34" s="12"/>
      <x:c r="D34" s="12"/>
      <x:c r="E34" s="12"/>
      <x:c r="F34" s="13"/>
      <x:c r="G34" s="12"/>
      <x:c r="H34" s="5"/>
      <x:c r="I34" s="12"/>
      <x:c r="J34" s="2" t="str">
        <x:f>IF(A34="","",IF(COUNTIF($A$9:$A$108,A34)&gt;1,"ID duplikat",IF(OR(E34="",G34="",H34=""),"Lengkapi input",IF(AND(E34&lt;&gt;"Menang",E34&lt;&gt;"Kalah",H34&lt;=Ringkasan!$B$3),"Tindak lanjut",""))))</x:f>
      </x:c>
    </x:row>
    <x:row r="35" ht="25" customHeight="1">
      <x:c r="A35" s="12"/>
      <x:c r="B35" s="12"/>
      <x:c r="C35" s="12"/>
      <x:c r="D35" s="12"/>
      <x:c r="E35" s="12"/>
      <x:c r="F35" s="13"/>
      <x:c r="G35" s="12"/>
      <x:c r="H35" s="5"/>
      <x:c r="I35" s="12"/>
      <x:c r="J35" s="2" t="str">
        <x:f>IF(A35="","",IF(COUNTIF($A$9:$A$108,A35)&gt;1,"ID duplikat",IF(OR(E35="",G35="",H35=""),"Lengkapi input",IF(AND(E35&lt;&gt;"Menang",E35&lt;&gt;"Kalah",H35&lt;=Ringkasan!$B$3),"Tindak lanjut",""))))</x:f>
      </x:c>
    </x:row>
    <x:row r="36" ht="25" customHeight="1">
      <x:c r="A36" s="12"/>
      <x:c r="B36" s="12"/>
      <x:c r="C36" s="12"/>
      <x:c r="D36" s="12"/>
      <x:c r="E36" s="12"/>
      <x:c r="F36" s="13"/>
      <x:c r="G36" s="12"/>
      <x:c r="H36" s="5"/>
      <x:c r="I36" s="12"/>
      <x:c r="J36" s="2" t="str">
        <x:f>IF(A36="","",IF(COUNTIF($A$9:$A$108,A36)&gt;1,"ID duplikat",IF(OR(E36="",G36="",H36=""),"Lengkapi input",IF(AND(E36&lt;&gt;"Menang",E36&lt;&gt;"Kalah",H36&lt;=Ringkasan!$B$3),"Tindak lanjut",""))))</x:f>
      </x:c>
    </x:row>
    <x:row r="37" ht="25" customHeight="1">
      <x:c r="A37" s="12"/>
      <x:c r="B37" s="12"/>
      <x:c r="C37" s="12"/>
      <x:c r="D37" s="12"/>
      <x:c r="E37" s="12"/>
      <x:c r="F37" s="13"/>
      <x:c r="G37" s="12"/>
      <x:c r="H37" s="5"/>
      <x:c r="I37" s="12"/>
      <x:c r="J37" s="2" t="str">
        <x:f>IF(A37="","",IF(COUNTIF($A$9:$A$108,A37)&gt;1,"ID duplikat",IF(OR(E37="",G37="",H37=""),"Lengkapi input",IF(AND(E37&lt;&gt;"Menang",E37&lt;&gt;"Kalah",H37&lt;=Ringkasan!$B$3),"Tindak lanjut",""))))</x:f>
      </x:c>
    </x:row>
    <x:row r="38" ht="25" customHeight="1">
      <x:c r="A38" s="12"/>
      <x:c r="B38" s="12"/>
      <x:c r="C38" s="12"/>
      <x:c r="D38" s="12"/>
      <x:c r="E38" s="12"/>
      <x:c r="F38" s="13"/>
      <x:c r="G38" s="12"/>
      <x:c r="H38" s="5"/>
      <x:c r="I38" s="12"/>
      <x:c r="J38" s="2" t="str">
        <x:f>IF(A38="","",IF(COUNTIF($A$9:$A$108,A38)&gt;1,"ID duplikat",IF(OR(E38="",G38="",H38=""),"Lengkapi input",IF(AND(E38&lt;&gt;"Menang",E38&lt;&gt;"Kalah",H38&lt;=Ringkasan!$B$3),"Tindak lanjut",""))))</x:f>
      </x:c>
    </x:row>
    <x:row r="39" ht="25" customHeight="1">
      <x:c r="A39" s="12"/>
      <x:c r="B39" s="12"/>
      <x:c r="C39" s="12"/>
      <x:c r="D39" s="12"/>
      <x:c r="E39" s="12"/>
      <x:c r="F39" s="13"/>
      <x:c r="G39" s="12"/>
      <x:c r="H39" s="5"/>
      <x:c r="I39" s="12"/>
      <x:c r="J39" s="2" t="str">
        <x:f>IF(A39="","",IF(COUNTIF($A$9:$A$108,A39)&gt;1,"ID duplikat",IF(OR(E39="",G39="",H39=""),"Lengkapi input",IF(AND(E39&lt;&gt;"Menang",E39&lt;&gt;"Kalah",H39&lt;=Ringkasan!$B$3),"Tindak lanjut",""))))</x:f>
      </x:c>
    </x:row>
    <x:row r="40" ht="25" customHeight="1">
      <x:c r="A40" s="12"/>
      <x:c r="B40" s="12"/>
      <x:c r="C40" s="12"/>
      <x:c r="D40" s="12"/>
      <x:c r="E40" s="12"/>
      <x:c r="F40" s="13"/>
      <x:c r="G40" s="12"/>
      <x:c r="H40" s="5"/>
      <x:c r="I40" s="12"/>
      <x:c r="J40" s="2" t="str">
        <x:f>IF(A40="","",IF(COUNTIF($A$9:$A$108,A40)&gt;1,"ID duplikat",IF(OR(E40="",G40="",H40=""),"Lengkapi input",IF(AND(E40&lt;&gt;"Menang",E40&lt;&gt;"Kalah",H40&lt;=Ringkasan!$B$3),"Tindak lanjut",""))))</x:f>
      </x:c>
    </x:row>
    <x:row r="41" ht="25" customHeight="1">
      <x:c r="A41" s="12"/>
      <x:c r="B41" s="12"/>
      <x:c r="C41" s="12"/>
      <x:c r="D41" s="12"/>
      <x:c r="E41" s="12"/>
      <x:c r="F41" s="13"/>
      <x:c r="G41" s="12"/>
      <x:c r="H41" s="5"/>
      <x:c r="I41" s="12"/>
      <x:c r="J41" s="2" t="str">
        <x:f>IF(A41="","",IF(COUNTIF($A$9:$A$108,A41)&gt;1,"ID duplikat",IF(OR(E41="",G41="",H41=""),"Lengkapi input",IF(AND(E41&lt;&gt;"Menang",E41&lt;&gt;"Kalah",H41&lt;=Ringkasan!$B$3),"Tindak lanjut",""))))</x:f>
      </x:c>
    </x:row>
    <x:row r="42" ht="25" customHeight="1">
      <x:c r="A42" s="12"/>
      <x:c r="B42" s="12"/>
      <x:c r="C42" s="12"/>
      <x:c r="D42" s="12"/>
      <x:c r="E42" s="12"/>
      <x:c r="F42" s="13"/>
      <x:c r="G42" s="12"/>
      <x:c r="H42" s="5"/>
      <x:c r="I42" s="12"/>
      <x:c r="J42" s="2" t="str">
        <x:f>IF(A42="","",IF(COUNTIF($A$9:$A$108,A42)&gt;1,"ID duplikat",IF(OR(E42="",G42="",H42=""),"Lengkapi input",IF(AND(E42&lt;&gt;"Menang",E42&lt;&gt;"Kalah",H42&lt;=Ringkasan!$B$3),"Tindak lanjut",""))))</x:f>
      </x:c>
    </x:row>
    <x:row r="43" ht="25" customHeight="1">
      <x:c r="A43" s="12"/>
      <x:c r="B43" s="12"/>
      <x:c r="C43" s="12"/>
      <x:c r="D43" s="12"/>
      <x:c r="E43" s="12"/>
      <x:c r="F43" s="13"/>
      <x:c r="G43" s="12"/>
      <x:c r="H43" s="5"/>
      <x:c r="I43" s="12"/>
      <x:c r="J43" s="2" t="str">
        <x:f>IF(A43="","",IF(COUNTIF($A$9:$A$108,A43)&gt;1,"ID duplikat",IF(OR(E43="",G43="",H43=""),"Lengkapi input",IF(AND(E43&lt;&gt;"Menang",E43&lt;&gt;"Kalah",H43&lt;=Ringkasan!$B$3),"Tindak lanjut",""))))</x:f>
      </x:c>
    </x:row>
    <x:row r="44" ht="25" customHeight="1">
      <x:c r="A44" s="12"/>
      <x:c r="B44" s="12"/>
      <x:c r="C44" s="12"/>
      <x:c r="D44" s="12"/>
      <x:c r="E44" s="12"/>
      <x:c r="F44" s="13"/>
      <x:c r="G44" s="12"/>
      <x:c r="H44" s="5"/>
      <x:c r="I44" s="12"/>
      <x:c r="J44" s="2" t="str">
        <x:f>IF(A44="","",IF(COUNTIF($A$9:$A$108,A44)&gt;1,"ID duplikat",IF(OR(E44="",G44="",H44=""),"Lengkapi input",IF(AND(E44&lt;&gt;"Menang",E44&lt;&gt;"Kalah",H44&lt;=Ringkasan!$B$3),"Tindak lanjut",""))))</x:f>
      </x:c>
    </x:row>
    <x:row r="45" ht="25" customHeight="1">
      <x:c r="A45" s="12"/>
      <x:c r="B45" s="12"/>
      <x:c r="C45" s="12"/>
      <x:c r="D45" s="12"/>
      <x:c r="E45" s="12"/>
      <x:c r="F45" s="13"/>
      <x:c r="G45" s="12"/>
      <x:c r="H45" s="5"/>
      <x:c r="I45" s="12"/>
      <x:c r="J45" s="2" t="str">
        <x:f>IF(A45="","",IF(COUNTIF($A$9:$A$108,A45)&gt;1,"ID duplikat",IF(OR(E45="",G45="",H45=""),"Lengkapi input",IF(AND(E45&lt;&gt;"Menang",E45&lt;&gt;"Kalah",H45&lt;=Ringkasan!$B$3),"Tindak lanjut",""))))</x:f>
      </x:c>
    </x:row>
    <x:row r="46" ht="25" customHeight="1">
      <x:c r="A46" s="12"/>
      <x:c r="B46" s="12"/>
      <x:c r="C46" s="12"/>
      <x:c r="D46" s="12"/>
      <x:c r="E46" s="12"/>
      <x:c r="F46" s="13"/>
      <x:c r="G46" s="12"/>
      <x:c r="H46" s="5"/>
      <x:c r="I46" s="12"/>
      <x:c r="J46" s="2" t="str">
        <x:f>IF(A46="","",IF(COUNTIF($A$9:$A$108,A46)&gt;1,"ID duplikat",IF(OR(E46="",G46="",H46=""),"Lengkapi input",IF(AND(E46&lt;&gt;"Menang",E46&lt;&gt;"Kalah",H46&lt;=Ringkasan!$B$3),"Tindak lanjut",""))))</x:f>
      </x:c>
    </x:row>
    <x:row r="47" ht="25" customHeight="1">
      <x:c r="A47" s="12"/>
      <x:c r="B47" s="12"/>
      <x:c r="C47" s="12"/>
      <x:c r="D47" s="12"/>
      <x:c r="E47" s="12"/>
      <x:c r="F47" s="13"/>
      <x:c r="G47" s="12"/>
      <x:c r="H47" s="5"/>
      <x:c r="I47" s="12"/>
      <x:c r="J47" s="2" t="str">
        <x:f>IF(A47="","",IF(COUNTIF($A$9:$A$108,A47)&gt;1,"ID duplikat",IF(OR(E47="",G47="",H47=""),"Lengkapi input",IF(AND(E47&lt;&gt;"Menang",E47&lt;&gt;"Kalah",H47&lt;=Ringkasan!$B$3),"Tindak lanjut",""))))</x:f>
      </x:c>
    </x:row>
    <x:row r="48" ht="25" customHeight="1">
      <x:c r="A48" s="12"/>
      <x:c r="B48" s="12"/>
      <x:c r="C48" s="12"/>
      <x:c r="D48" s="12"/>
      <x:c r="E48" s="12"/>
      <x:c r="F48" s="13"/>
      <x:c r="G48" s="12"/>
      <x:c r="H48" s="5"/>
      <x:c r="I48" s="12"/>
      <x:c r="J48" s="2" t="str">
        <x:f>IF(A48="","",IF(COUNTIF($A$9:$A$108,A48)&gt;1,"ID duplikat",IF(OR(E48="",G48="",H48=""),"Lengkapi input",IF(AND(E48&lt;&gt;"Menang",E48&lt;&gt;"Kalah",H48&lt;=Ringkasan!$B$3),"Tindak lanjut",""))))</x:f>
      </x:c>
    </x:row>
    <x:row r="49" ht="25" customHeight="1">
      <x:c r="A49" s="12"/>
      <x:c r="B49" s="12"/>
      <x:c r="C49" s="12"/>
      <x:c r="D49" s="12"/>
      <x:c r="E49" s="12"/>
      <x:c r="F49" s="13"/>
      <x:c r="G49" s="12"/>
      <x:c r="H49" s="5"/>
      <x:c r="I49" s="12"/>
      <x:c r="J49" s="2" t="str">
        <x:f>IF(A49="","",IF(COUNTIF($A$9:$A$108,A49)&gt;1,"ID duplikat",IF(OR(E49="",G49="",H49=""),"Lengkapi input",IF(AND(E49&lt;&gt;"Menang",E49&lt;&gt;"Kalah",H49&lt;=Ringkasan!$B$3),"Tindak lanjut",""))))</x:f>
      </x:c>
    </x:row>
    <x:row r="50" ht="25" customHeight="1">
      <x:c r="A50" s="12"/>
      <x:c r="B50" s="12"/>
      <x:c r="C50" s="12"/>
      <x:c r="D50" s="12"/>
      <x:c r="E50" s="12"/>
      <x:c r="F50" s="13"/>
      <x:c r="G50" s="12"/>
      <x:c r="H50" s="5"/>
      <x:c r="I50" s="12"/>
      <x:c r="J50" s="2" t="str">
        <x:f>IF(A50="","",IF(COUNTIF($A$9:$A$108,A50)&gt;1,"ID duplikat",IF(OR(E50="",G50="",H50=""),"Lengkapi input",IF(AND(E50&lt;&gt;"Menang",E50&lt;&gt;"Kalah",H50&lt;=Ringkasan!$B$3),"Tindak lanjut",""))))</x:f>
      </x:c>
    </x:row>
    <x:row r="51" ht="25" customHeight="1">
      <x:c r="A51" s="12"/>
      <x:c r="B51" s="12"/>
      <x:c r="C51" s="12"/>
      <x:c r="D51" s="12"/>
      <x:c r="E51" s="12"/>
      <x:c r="F51" s="13"/>
      <x:c r="G51" s="12"/>
      <x:c r="H51" s="5"/>
      <x:c r="I51" s="12"/>
      <x:c r="J51" s="2" t="str">
        <x:f>IF(A51="","",IF(COUNTIF($A$9:$A$108,A51)&gt;1,"ID duplikat",IF(OR(E51="",G51="",H51=""),"Lengkapi input",IF(AND(E51&lt;&gt;"Menang",E51&lt;&gt;"Kalah",H51&lt;=Ringkasan!$B$3),"Tindak lanjut",""))))</x:f>
      </x:c>
    </x:row>
    <x:row r="52" ht="25" customHeight="1">
      <x:c r="A52" s="12"/>
      <x:c r="B52" s="12"/>
      <x:c r="C52" s="12"/>
      <x:c r="D52" s="12"/>
      <x:c r="E52" s="12"/>
      <x:c r="F52" s="13"/>
      <x:c r="G52" s="12"/>
      <x:c r="H52" s="5"/>
      <x:c r="I52" s="12"/>
      <x:c r="J52" s="2" t="str">
        <x:f>IF(A52="","",IF(COUNTIF($A$9:$A$108,A52)&gt;1,"ID duplikat",IF(OR(E52="",G52="",H52=""),"Lengkapi input",IF(AND(E52&lt;&gt;"Menang",E52&lt;&gt;"Kalah",H52&lt;=Ringkasan!$B$3),"Tindak lanjut",""))))</x:f>
      </x:c>
    </x:row>
    <x:row r="53" ht="25" customHeight="1">
      <x:c r="A53" s="12"/>
      <x:c r="B53" s="12"/>
      <x:c r="C53" s="12"/>
      <x:c r="D53" s="12"/>
      <x:c r="E53" s="12"/>
      <x:c r="F53" s="13"/>
      <x:c r="G53" s="12"/>
      <x:c r="H53" s="5"/>
      <x:c r="I53" s="12"/>
      <x:c r="J53" s="2" t="str">
        <x:f>IF(A53="","",IF(COUNTIF($A$9:$A$108,A53)&gt;1,"ID duplikat",IF(OR(E53="",G53="",H53=""),"Lengkapi input",IF(AND(E53&lt;&gt;"Menang",E53&lt;&gt;"Kalah",H53&lt;=Ringkasan!$B$3),"Tindak lanjut",""))))</x:f>
      </x:c>
    </x:row>
    <x:row r="54" ht="25" customHeight="1">
      <x:c r="A54" s="12"/>
      <x:c r="B54" s="12"/>
      <x:c r="C54" s="12"/>
      <x:c r="D54" s="12"/>
      <x:c r="E54" s="12"/>
      <x:c r="F54" s="13"/>
      <x:c r="G54" s="12"/>
      <x:c r="H54" s="5"/>
      <x:c r="I54" s="12"/>
      <x:c r="J54" s="2" t="str">
        <x:f>IF(A54="","",IF(COUNTIF($A$9:$A$108,A54)&gt;1,"ID duplikat",IF(OR(E54="",G54="",H54=""),"Lengkapi input",IF(AND(E54&lt;&gt;"Menang",E54&lt;&gt;"Kalah",H54&lt;=Ringkasan!$B$3),"Tindak lanjut",""))))</x:f>
      </x:c>
    </x:row>
    <x:row r="55" ht="25" customHeight="1">
      <x:c r="A55" s="12"/>
      <x:c r="B55" s="12"/>
      <x:c r="C55" s="12"/>
      <x:c r="D55" s="12"/>
      <x:c r="E55" s="12"/>
      <x:c r="F55" s="13"/>
      <x:c r="G55" s="12"/>
      <x:c r="H55" s="5"/>
      <x:c r="I55" s="12"/>
      <x:c r="J55" s="2" t="str">
        <x:f>IF(A55="","",IF(COUNTIF($A$9:$A$108,A55)&gt;1,"ID duplikat",IF(OR(E55="",G55="",H55=""),"Lengkapi input",IF(AND(E55&lt;&gt;"Menang",E55&lt;&gt;"Kalah",H55&lt;=Ringkasan!$B$3),"Tindak lanjut",""))))</x:f>
      </x:c>
    </x:row>
    <x:row r="56" ht="25" customHeight="1">
      <x:c r="A56" s="12"/>
      <x:c r="B56" s="12"/>
      <x:c r="C56" s="12"/>
      <x:c r="D56" s="12"/>
      <x:c r="E56" s="12"/>
      <x:c r="F56" s="13"/>
      <x:c r="G56" s="12"/>
      <x:c r="H56" s="5"/>
      <x:c r="I56" s="12"/>
      <x:c r="J56" s="2" t="str">
        <x:f>IF(A56="","",IF(COUNTIF($A$9:$A$108,A56)&gt;1,"ID duplikat",IF(OR(E56="",G56="",H56=""),"Lengkapi input",IF(AND(E56&lt;&gt;"Menang",E56&lt;&gt;"Kalah",H56&lt;=Ringkasan!$B$3),"Tindak lanjut",""))))</x:f>
      </x:c>
    </x:row>
    <x:row r="57" ht="25" customHeight="1">
      <x:c r="A57" s="12"/>
      <x:c r="B57" s="12"/>
      <x:c r="C57" s="12"/>
      <x:c r="D57" s="12"/>
      <x:c r="E57" s="12"/>
      <x:c r="F57" s="13"/>
      <x:c r="G57" s="12"/>
      <x:c r="H57" s="5"/>
      <x:c r="I57" s="12"/>
      <x:c r="J57" s="2" t="str">
        <x:f>IF(A57="","",IF(COUNTIF($A$9:$A$108,A57)&gt;1,"ID duplikat",IF(OR(E57="",G57="",H57=""),"Lengkapi input",IF(AND(E57&lt;&gt;"Menang",E57&lt;&gt;"Kalah",H57&lt;=Ringkasan!$B$3),"Tindak lanjut",""))))</x:f>
      </x:c>
    </x:row>
    <x:row r="58" ht="25" customHeight="1">
      <x:c r="A58" s="12"/>
      <x:c r="B58" s="12"/>
      <x:c r="C58" s="12"/>
      <x:c r="D58" s="12"/>
      <x:c r="E58" s="12"/>
      <x:c r="F58" s="13"/>
      <x:c r="G58" s="12"/>
      <x:c r="H58" s="5"/>
      <x:c r="I58" s="12"/>
      <x:c r="J58" s="2" t="str">
        <x:f>IF(A58="","",IF(COUNTIF($A$9:$A$108,A58)&gt;1,"ID duplikat",IF(OR(E58="",G58="",H58=""),"Lengkapi input",IF(AND(E58&lt;&gt;"Menang",E58&lt;&gt;"Kalah",H58&lt;=Ringkasan!$B$3),"Tindak lanjut",""))))</x:f>
      </x:c>
    </x:row>
    <x:row r="59" ht="25" customHeight="1">
      <x:c r="A59" s="12"/>
      <x:c r="B59" s="12"/>
      <x:c r="C59" s="12"/>
      <x:c r="D59" s="12"/>
      <x:c r="E59" s="12"/>
      <x:c r="F59" s="13"/>
      <x:c r="G59" s="12"/>
      <x:c r="H59" s="5"/>
      <x:c r="I59" s="12"/>
      <x:c r="J59" s="2" t="str">
        <x:f>IF(A59="","",IF(COUNTIF($A$9:$A$108,A59)&gt;1,"ID duplikat",IF(OR(E59="",G59="",H59=""),"Lengkapi input",IF(AND(E59&lt;&gt;"Menang",E59&lt;&gt;"Kalah",H59&lt;=Ringkasan!$B$3),"Tindak lanjut",""))))</x:f>
      </x:c>
    </x:row>
    <x:row r="60" ht="25" customHeight="1">
      <x:c r="A60" s="12"/>
      <x:c r="B60" s="12"/>
      <x:c r="C60" s="12"/>
      <x:c r="D60" s="12"/>
      <x:c r="E60" s="12"/>
      <x:c r="F60" s="13"/>
      <x:c r="G60" s="12"/>
      <x:c r="H60" s="5"/>
      <x:c r="I60" s="12"/>
      <x:c r="J60" s="2" t="str">
        <x:f>IF(A60="","",IF(COUNTIF($A$9:$A$108,A60)&gt;1,"ID duplikat",IF(OR(E60="",G60="",H60=""),"Lengkapi input",IF(AND(E60&lt;&gt;"Menang",E60&lt;&gt;"Kalah",H60&lt;=Ringkasan!$B$3),"Tindak lanjut",""))))</x:f>
      </x:c>
    </x:row>
    <x:row r="61" ht="25" customHeight="1">
      <x:c r="A61" s="12"/>
      <x:c r="B61" s="12"/>
      <x:c r="C61" s="12"/>
      <x:c r="D61" s="12"/>
      <x:c r="E61" s="12"/>
      <x:c r="F61" s="13"/>
      <x:c r="G61" s="12"/>
      <x:c r="H61" s="5"/>
      <x:c r="I61" s="12"/>
      <x:c r="J61" s="2" t="str">
        <x:f>IF(A61="","",IF(COUNTIF($A$9:$A$108,A61)&gt;1,"ID duplikat",IF(OR(E61="",G61="",H61=""),"Lengkapi input",IF(AND(E61&lt;&gt;"Menang",E61&lt;&gt;"Kalah",H61&lt;=Ringkasan!$B$3),"Tindak lanjut",""))))</x:f>
      </x:c>
    </x:row>
    <x:row r="62" ht="25" customHeight="1">
      <x:c r="A62" s="12"/>
      <x:c r="B62" s="12"/>
      <x:c r="C62" s="12"/>
      <x:c r="D62" s="12"/>
      <x:c r="E62" s="12"/>
      <x:c r="F62" s="13"/>
      <x:c r="G62" s="12"/>
      <x:c r="H62" s="5"/>
      <x:c r="I62" s="12"/>
      <x:c r="J62" s="2" t="str">
        <x:f>IF(A62="","",IF(COUNTIF($A$9:$A$108,A62)&gt;1,"ID duplikat",IF(OR(E62="",G62="",H62=""),"Lengkapi input",IF(AND(E62&lt;&gt;"Menang",E62&lt;&gt;"Kalah",H62&lt;=Ringkasan!$B$3),"Tindak lanjut",""))))</x:f>
      </x:c>
    </x:row>
    <x:row r="63" ht="25" customHeight="1">
      <x:c r="A63" s="12"/>
      <x:c r="B63" s="12"/>
      <x:c r="C63" s="12"/>
      <x:c r="D63" s="12"/>
      <x:c r="E63" s="12"/>
      <x:c r="F63" s="13"/>
      <x:c r="G63" s="12"/>
      <x:c r="H63" s="5"/>
      <x:c r="I63" s="12"/>
      <x:c r="J63" s="2" t="str">
        <x:f>IF(A63="","",IF(COUNTIF($A$9:$A$108,A63)&gt;1,"ID duplikat",IF(OR(E63="",G63="",H63=""),"Lengkapi input",IF(AND(E63&lt;&gt;"Menang",E63&lt;&gt;"Kalah",H63&lt;=Ringkasan!$B$3),"Tindak lanjut",""))))</x:f>
      </x:c>
    </x:row>
    <x:row r="64" ht="25" customHeight="1">
      <x:c r="A64" s="12"/>
      <x:c r="B64" s="12"/>
      <x:c r="C64" s="12"/>
      <x:c r="D64" s="12"/>
      <x:c r="E64" s="12"/>
      <x:c r="F64" s="13"/>
      <x:c r="G64" s="12"/>
      <x:c r="H64" s="5"/>
      <x:c r="I64" s="12"/>
      <x:c r="J64" s="2" t="str">
        <x:f>IF(A64="","",IF(COUNTIF($A$9:$A$108,A64)&gt;1,"ID duplikat",IF(OR(E64="",G64="",H64=""),"Lengkapi input",IF(AND(E64&lt;&gt;"Menang",E64&lt;&gt;"Kalah",H64&lt;=Ringkasan!$B$3),"Tindak lanjut",""))))</x:f>
      </x:c>
    </x:row>
    <x:row r="65" ht="25" customHeight="1">
      <x:c r="A65" s="12"/>
      <x:c r="B65" s="12"/>
      <x:c r="C65" s="12"/>
      <x:c r="D65" s="12"/>
      <x:c r="E65" s="12"/>
      <x:c r="F65" s="13"/>
      <x:c r="G65" s="12"/>
      <x:c r="H65" s="5"/>
      <x:c r="I65" s="12"/>
      <x:c r="J65" s="2" t="str">
        <x:f>IF(A65="","",IF(COUNTIF($A$9:$A$108,A65)&gt;1,"ID duplikat",IF(OR(E65="",G65="",H65=""),"Lengkapi input",IF(AND(E65&lt;&gt;"Menang",E65&lt;&gt;"Kalah",H65&lt;=Ringkasan!$B$3),"Tindak lanjut",""))))</x:f>
      </x:c>
    </x:row>
    <x:row r="66" ht="25" customHeight="1">
      <x:c r="A66" s="12"/>
      <x:c r="B66" s="12"/>
      <x:c r="C66" s="12"/>
      <x:c r="D66" s="12"/>
      <x:c r="E66" s="12"/>
      <x:c r="F66" s="13"/>
      <x:c r="G66" s="12"/>
      <x:c r="H66" s="5"/>
      <x:c r="I66" s="12"/>
      <x:c r="J66" s="2" t="str">
        <x:f>IF(A66="","",IF(COUNTIF($A$9:$A$108,A66)&gt;1,"ID duplikat",IF(OR(E66="",G66="",H66=""),"Lengkapi input",IF(AND(E66&lt;&gt;"Menang",E66&lt;&gt;"Kalah",H66&lt;=Ringkasan!$B$3),"Tindak lanjut",""))))</x:f>
      </x:c>
    </x:row>
    <x:row r="67" ht="25" customHeight="1">
      <x:c r="A67" s="12"/>
      <x:c r="B67" s="12"/>
      <x:c r="C67" s="12"/>
      <x:c r="D67" s="12"/>
      <x:c r="E67" s="12"/>
      <x:c r="F67" s="13"/>
      <x:c r="G67" s="12"/>
      <x:c r="H67" s="5"/>
      <x:c r="I67" s="12"/>
      <x:c r="J67" s="2" t="str">
        <x:f>IF(A67="","",IF(COUNTIF($A$9:$A$108,A67)&gt;1,"ID duplikat",IF(OR(E67="",G67="",H67=""),"Lengkapi input",IF(AND(E67&lt;&gt;"Menang",E67&lt;&gt;"Kalah",H67&lt;=Ringkasan!$B$3),"Tindak lanjut",""))))</x:f>
      </x:c>
    </x:row>
    <x:row r="68" ht="25" customHeight="1">
      <x:c r="A68" s="12"/>
      <x:c r="B68" s="12"/>
      <x:c r="C68" s="12"/>
      <x:c r="D68" s="12"/>
      <x:c r="E68" s="12"/>
      <x:c r="F68" s="13"/>
      <x:c r="G68" s="12"/>
      <x:c r="H68" s="5"/>
      <x:c r="I68" s="12"/>
      <x:c r="J68" s="2" t="str">
        <x:f>IF(A68="","",IF(COUNTIF($A$9:$A$108,A68)&gt;1,"ID duplikat",IF(OR(E68="",G68="",H68=""),"Lengkapi input",IF(AND(E68&lt;&gt;"Menang",E68&lt;&gt;"Kalah",H68&lt;=Ringkasan!$B$3),"Tindak lanjut",""))))</x:f>
      </x:c>
    </x:row>
    <x:row r="69" ht="25" customHeight="1">
      <x:c r="A69" s="12"/>
      <x:c r="B69" s="12"/>
      <x:c r="C69" s="12"/>
      <x:c r="D69" s="12"/>
      <x:c r="E69" s="12"/>
      <x:c r="F69" s="13"/>
      <x:c r="G69" s="12"/>
      <x:c r="H69" s="5"/>
      <x:c r="I69" s="12"/>
      <x:c r="J69" s="2" t="str">
        <x:f>IF(A69="","",IF(COUNTIF($A$9:$A$108,A69)&gt;1,"ID duplikat",IF(OR(E69="",G69="",H69=""),"Lengkapi input",IF(AND(E69&lt;&gt;"Menang",E69&lt;&gt;"Kalah",H69&lt;=Ringkasan!$B$3),"Tindak lanjut",""))))</x:f>
      </x:c>
    </x:row>
    <x:row r="70" ht="25" customHeight="1">
      <x:c r="A70" s="12"/>
      <x:c r="B70" s="12"/>
      <x:c r="C70" s="12"/>
      <x:c r="D70" s="12"/>
      <x:c r="E70" s="12"/>
      <x:c r="F70" s="13"/>
      <x:c r="G70" s="12"/>
      <x:c r="H70" s="5"/>
      <x:c r="I70" s="12"/>
      <x:c r="J70" s="2" t="str">
        <x:f>IF(A70="","",IF(COUNTIF($A$9:$A$108,A70)&gt;1,"ID duplikat",IF(OR(E70="",G70="",H70=""),"Lengkapi input",IF(AND(E70&lt;&gt;"Menang",E70&lt;&gt;"Kalah",H70&lt;=Ringkasan!$B$3),"Tindak lanjut",""))))</x:f>
      </x:c>
    </x:row>
    <x:row r="71" ht="25" customHeight="1">
      <x:c r="A71" s="12"/>
      <x:c r="B71" s="12"/>
      <x:c r="C71" s="12"/>
      <x:c r="D71" s="12"/>
      <x:c r="E71" s="12"/>
      <x:c r="F71" s="13"/>
      <x:c r="G71" s="12"/>
      <x:c r="H71" s="5"/>
      <x:c r="I71" s="12"/>
      <x:c r="J71" s="2" t="str">
        <x:f>IF(A71="","",IF(COUNTIF($A$9:$A$108,A71)&gt;1,"ID duplikat",IF(OR(E71="",G71="",H71=""),"Lengkapi input",IF(AND(E71&lt;&gt;"Menang",E71&lt;&gt;"Kalah",H71&lt;=Ringkasan!$B$3),"Tindak lanjut",""))))</x:f>
      </x:c>
    </x:row>
    <x:row r="72" ht="25" customHeight="1">
      <x:c r="A72" s="12"/>
      <x:c r="B72" s="12"/>
      <x:c r="C72" s="12"/>
      <x:c r="D72" s="12"/>
      <x:c r="E72" s="12"/>
      <x:c r="F72" s="13"/>
      <x:c r="G72" s="12"/>
      <x:c r="H72" s="5"/>
      <x:c r="I72" s="12"/>
      <x:c r="J72" s="2" t="str">
        <x:f>IF(A72="","",IF(COUNTIF($A$9:$A$108,A72)&gt;1,"ID duplikat",IF(OR(E72="",G72="",H72=""),"Lengkapi input",IF(AND(E72&lt;&gt;"Menang",E72&lt;&gt;"Kalah",H72&lt;=Ringkasan!$B$3),"Tindak lanjut",""))))</x:f>
      </x:c>
    </x:row>
    <x:row r="73" ht="25" customHeight="1">
      <x:c r="A73" s="12"/>
      <x:c r="B73" s="12"/>
      <x:c r="C73" s="12"/>
      <x:c r="D73" s="12"/>
      <x:c r="E73" s="12"/>
      <x:c r="F73" s="13"/>
      <x:c r="G73" s="12"/>
      <x:c r="H73" s="5"/>
      <x:c r="I73" s="12"/>
      <x:c r="J73" s="2" t="str">
        <x:f>IF(A73="","",IF(COUNTIF($A$9:$A$108,A73)&gt;1,"ID duplikat",IF(OR(E73="",G73="",H73=""),"Lengkapi input",IF(AND(E73&lt;&gt;"Menang",E73&lt;&gt;"Kalah",H73&lt;=Ringkasan!$B$3),"Tindak lanjut",""))))</x:f>
      </x:c>
    </x:row>
    <x:row r="74" ht="25" customHeight="1">
      <x:c r="A74" s="12"/>
      <x:c r="B74" s="12"/>
      <x:c r="C74" s="12"/>
      <x:c r="D74" s="12"/>
      <x:c r="E74" s="12"/>
      <x:c r="F74" s="13"/>
      <x:c r="G74" s="12"/>
      <x:c r="H74" s="5"/>
      <x:c r="I74" s="12"/>
      <x:c r="J74" s="2" t="str">
        <x:f>IF(A74="","",IF(COUNTIF($A$9:$A$108,A74)&gt;1,"ID duplikat",IF(OR(E74="",G74="",H74=""),"Lengkapi input",IF(AND(E74&lt;&gt;"Menang",E74&lt;&gt;"Kalah",H74&lt;=Ringkasan!$B$3),"Tindak lanjut",""))))</x:f>
      </x:c>
    </x:row>
    <x:row r="75" ht="25" customHeight="1">
      <x:c r="A75" s="12"/>
      <x:c r="B75" s="12"/>
      <x:c r="C75" s="12"/>
      <x:c r="D75" s="12"/>
      <x:c r="E75" s="12"/>
      <x:c r="F75" s="13"/>
      <x:c r="G75" s="12"/>
      <x:c r="H75" s="5"/>
      <x:c r="I75" s="12"/>
      <x:c r="J75" s="2" t="str">
        <x:f>IF(A75="","",IF(COUNTIF($A$9:$A$108,A75)&gt;1,"ID duplikat",IF(OR(E75="",G75="",H75=""),"Lengkapi input",IF(AND(E75&lt;&gt;"Menang",E75&lt;&gt;"Kalah",H75&lt;=Ringkasan!$B$3),"Tindak lanjut",""))))</x:f>
      </x:c>
    </x:row>
    <x:row r="76" ht="25" customHeight="1">
      <x:c r="A76" s="12"/>
      <x:c r="B76" s="12"/>
      <x:c r="C76" s="12"/>
      <x:c r="D76" s="12"/>
      <x:c r="E76" s="12"/>
      <x:c r="F76" s="13"/>
      <x:c r="G76" s="12"/>
      <x:c r="H76" s="5"/>
      <x:c r="I76" s="12"/>
      <x:c r="J76" s="2" t="str">
        <x:f>IF(A76="","",IF(COUNTIF($A$9:$A$108,A76)&gt;1,"ID duplikat",IF(OR(E76="",G76="",H76=""),"Lengkapi input",IF(AND(E76&lt;&gt;"Menang",E76&lt;&gt;"Kalah",H76&lt;=Ringkasan!$B$3),"Tindak lanjut",""))))</x:f>
      </x:c>
    </x:row>
    <x:row r="77" ht="25" customHeight="1">
      <x:c r="A77" s="12"/>
      <x:c r="B77" s="12"/>
      <x:c r="C77" s="12"/>
      <x:c r="D77" s="12"/>
      <x:c r="E77" s="12"/>
      <x:c r="F77" s="13"/>
      <x:c r="G77" s="12"/>
      <x:c r="H77" s="5"/>
      <x:c r="I77" s="12"/>
      <x:c r="J77" s="2" t="str">
        <x:f>IF(A77="","",IF(COUNTIF($A$9:$A$108,A77)&gt;1,"ID duplikat",IF(OR(E77="",G77="",H77=""),"Lengkapi input",IF(AND(E77&lt;&gt;"Menang",E77&lt;&gt;"Kalah",H77&lt;=Ringkasan!$B$3),"Tindak lanjut",""))))</x:f>
      </x:c>
    </x:row>
    <x:row r="78" ht="25" customHeight="1">
      <x:c r="A78" s="12"/>
      <x:c r="B78" s="12"/>
      <x:c r="C78" s="12"/>
      <x:c r="D78" s="12"/>
      <x:c r="E78" s="12"/>
      <x:c r="F78" s="13"/>
      <x:c r="G78" s="12"/>
      <x:c r="H78" s="5"/>
      <x:c r="I78" s="12"/>
      <x:c r="J78" s="2" t="str">
        <x:f>IF(A78="","",IF(COUNTIF($A$9:$A$108,A78)&gt;1,"ID duplikat",IF(OR(E78="",G78="",H78=""),"Lengkapi input",IF(AND(E78&lt;&gt;"Menang",E78&lt;&gt;"Kalah",H78&lt;=Ringkasan!$B$3),"Tindak lanjut",""))))</x:f>
      </x:c>
    </x:row>
    <x:row r="79" ht="25" customHeight="1">
      <x:c r="A79" s="12"/>
      <x:c r="B79" s="12"/>
      <x:c r="C79" s="12"/>
      <x:c r="D79" s="12"/>
      <x:c r="E79" s="12"/>
      <x:c r="F79" s="13"/>
      <x:c r="G79" s="12"/>
      <x:c r="H79" s="5"/>
      <x:c r="I79" s="12"/>
      <x:c r="J79" s="2" t="str">
        <x:f>IF(A79="","",IF(COUNTIF($A$9:$A$108,A79)&gt;1,"ID duplikat",IF(OR(E79="",G79="",H79=""),"Lengkapi input",IF(AND(E79&lt;&gt;"Menang",E79&lt;&gt;"Kalah",H79&lt;=Ringkasan!$B$3),"Tindak lanjut",""))))</x:f>
      </x:c>
    </x:row>
    <x:row r="80" ht="25" customHeight="1">
      <x:c r="A80" s="12"/>
      <x:c r="B80" s="12"/>
      <x:c r="C80" s="12"/>
      <x:c r="D80" s="12"/>
      <x:c r="E80" s="12"/>
      <x:c r="F80" s="13"/>
      <x:c r="G80" s="12"/>
      <x:c r="H80" s="5"/>
      <x:c r="I80" s="12"/>
      <x:c r="J80" s="2" t="str">
        <x:f>IF(A80="","",IF(COUNTIF($A$9:$A$108,A80)&gt;1,"ID duplikat",IF(OR(E80="",G80="",H80=""),"Lengkapi input",IF(AND(E80&lt;&gt;"Menang",E80&lt;&gt;"Kalah",H80&lt;=Ringkasan!$B$3),"Tindak lanjut",""))))</x:f>
      </x:c>
    </x:row>
    <x:row r="81" ht="25" customHeight="1">
      <x:c r="A81" s="12"/>
      <x:c r="B81" s="12"/>
      <x:c r="C81" s="12"/>
      <x:c r="D81" s="12"/>
      <x:c r="E81" s="12"/>
      <x:c r="F81" s="13"/>
      <x:c r="G81" s="12"/>
      <x:c r="H81" s="5"/>
      <x:c r="I81" s="12"/>
      <x:c r="J81" s="2" t="str">
        <x:f>IF(A81="","",IF(COUNTIF($A$9:$A$108,A81)&gt;1,"ID duplikat",IF(OR(E81="",G81="",H81=""),"Lengkapi input",IF(AND(E81&lt;&gt;"Menang",E81&lt;&gt;"Kalah",H81&lt;=Ringkasan!$B$3),"Tindak lanjut",""))))</x:f>
      </x:c>
    </x:row>
    <x:row r="82" ht="25" customHeight="1">
      <x:c r="A82" s="12"/>
      <x:c r="B82" s="12"/>
      <x:c r="C82" s="12"/>
      <x:c r="D82" s="12"/>
      <x:c r="E82" s="12"/>
      <x:c r="F82" s="13"/>
      <x:c r="G82" s="12"/>
      <x:c r="H82" s="5"/>
      <x:c r="I82" s="12"/>
      <x:c r="J82" s="2" t="str">
        <x:f>IF(A82="","",IF(COUNTIF($A$9:$A$108,A82)&gt;1,"ID duplikat",IF(OR(E82="",G82="",H82=""),"Lengkapi input",IF(AND(E82&lt;&gt;"Menang",E82&lt;&gt;"Kalah",H82&lt;=Ringkasan!$B$3),"Tindak lanjut",""))))</x:f>
      </x:c>
    </x:row>
    <x:row r="83" ht="25" customHeight="1">
      <x:c r="A83" s="12"/>
      <x:c r="B83" s="12"/>
      <x:c r="C83" s="12"/>
      <x:c r="D83" s="12"/>
      <x:c r="E83" s="12"/>
      <x:c r="F83" s="13"/>
      <x:c r="G83" s="12"/>
      <x:c r="H83" s="5"/>
      <x:c r="I83" s="12"/>
      <x:c r="J83" s="2" t="str">
        <x:f>IF(A83="","",IF(COUNTIF($A$9:$A$108,A83)&gt;1,"ID duplikat",IF(OR(E83="",G83="",H83=""),"Lengkapi input",IF(AND(E83&lt;&gt;"Menang",E83&lt;&gt;"Kalah",H83&lt;=Ringkasan!$B$3),"Tindak lanjut",""))))</x:f>
      </x:c>
    </x:row>
    <x:row r="84" ht="25" customHeight="1">
      <x:c r="A84" s="12"/>
      <x:c r="B84" s="12"/>
      <x:c r="C84" s="12"/>
      <x:c r="D84" s="12"/>
      <x:c r="E84" s="12"/>
      <x:c r="F84" s="13"/>
      <x:c r="G84" s="12"/>
      <x:c r="H84" s="5"/>
      <x:c r="I84" s="12"/>
      <x:c r="J84" s="2" t="str">
        <x:f>IF(A84="","",IF(COUNTIF($A$9:$A$108,A84)&gt;1,"ID duplikat",IF(OR(E84="",G84="",H84=""),"Lengkapi input",IF(AND(E84&lt;&gt;"Menang",E84&lt;&gt;"Kalah",H84&lt;=Ringkasan!$B$3),"Tindak lanjut",""))))</x:f>
      </x:c>
    </x:row>
    <x:row r="85" ht="25" customHeight="1">
      <x:c r="A85" s="12"/>
      <x:c r="B85" s="12"/>
      <x:c r="C85" s="12"/>
      <x:c r="D85" s="12"/>
      <x:c r="E85" s="12"/>
      <x:c r="F85" s="13"/>
      <x:c r="G85" s="12"/>
      <x:c r="H85" s="5"/>
      <x:c r="I85" s="12"/>
      <x:c r="J85" s="2" t="str">
        <x:f>IF(A85="","",IF(COUNTIF($A$9:$A$108,A85)&gt;1,"ID duplikat",IF(OR(E85="",G85="",H85=""),"Lengkapi input",IF(AND(E85&lt;&gt;"Menang",E85&lt;&gt;"Kalah",H85&lt;=Ringkasan!$B$3),"Tindak lanjut",""))))</x:f>
      </x:c>
    </x:row>
    <x:row r="86" ht="25" customHeight="1">
      <x:c r="A86" s="12"/>
      <x:c r="B86" s="12"/>
      <x:c r="C86" s="12"/>
      <x:c r="D86" s="12"/>
      <x:c r="E86" s="12"/>
      <x:c r="F86" s="13"/>
      <x:c r="G86" s="12"/>
      <x:c r="H86" s="5"/>
      <x:c r="I86" s="12"/>
      <x:c r="J86" s="2" t="str">
        <x:f>IF(A86="","",IF(COUNTIF($A$9:$A$108,A86)&gt;1,"ID duplikat",IF(OR(E86="",G86="",H86=""),"Lengkapi input",IF(AND(E86&lt;&gt;"Menang",E86&lt;&gt;"Kalah",H86&lt;=Ringkasan!$B$3),"Tindak lanjut",""))))</x:f>
      </x:c>
    </x:row>
    <x:row r="87" ht="25" customHeight="1">
      <x:c r="A87" s="12"/>
      <x:c r="B87" s="12"/>
      <x:c r="C87" s="12"/>
      <x:c r="D87" s="12"/>
      <x:c r="E87" s="12"/>
      <x:c r="F87" s="13"/>
      <x:c r="G87" s="12"/>
      <x:c r="H87" s="5"/>
      <x:c r="I87" s="12"/>
      <x:c r="J87" s="2" t="str">
        <x:f>IF(A87="","",IF(COUNTIF($A$9:$A$108,A87)&gt;1,"ID duplikat",IF(OR(E87="",G87="",H87=""),"Lengkapi input",IF(AND(E87&lt;&gt;"Menang",E87&lt;&gt;"Kalah",H87&lt;=Ringkasan!$B$3),"Tindak lanjut",""))))</x:f>
      </x:c>
    </x:row>
    <x:row r="88" ht="25" customHeight="1">
      <x:c r="A88" s="12"/>
      <x:c r="B88" s="12"/>
      <x:c r="C88" s="12"/>
      <x:c r="D88" s="12"/>
      <x:c r="E88" s="12"/>
      <x:c r="F88" s="13"/>
      <x:c r="G88" s="12"/>
      <x:c r="H88" s="5"/>
      <x:c r="I88" s="12"/>
      <x:c r="J88" s="2" t="str">
        <x:f>IF(A88="","",IF(COUNTIF($A$9:$A$108,A88)&gt;1,"ID duplikat",IF(OR(E88="",G88="",H88=""),"Lengkapi input",IF(AND(E88&lt;&gt;"Menang",E88&lt;&gt;"Kalah",H88&lt;=Ringkasan!$B$3),"Tindak lanjut",""))))</x:f>
      </x:c>
    </x:row>
    <x:row r="89" ht="25" customHeight="1">
      <x:c r="A89" s="12"/>
      <x:c r="B89" s="12"/>
      <x:c r="C89" s="12"/>
      <x:c r="D89" s="12"/>
      <x:c r="E89" s="12"/>
      <x:c r="F89" s="13"/>
      <x:c r="G89" s="12"/>
      <x:c r="H89" s="5"/>
      <x:c r="I89" s="12"/>
      <x:c r="J89" s="2" t="str">
        <x:f>IF(A89="","",IF(COUNTIF($A$9:$A$108,A89)&gt;1,"ID duplikat",IF(OR(E89="",G89="",H89=""),"Lengkapi input",IF(AND(E89&lt;&gt;"Menang",E89&lt;&gt;"Kalah",H89&lt;=Ringkasan!$B$3),"Tindak lanjut",""))))</x:f>
      </x:c>
    </x:row>
    <x:row r="90" ht="25" customHeight="1">
      <x:c r="A90" s="12"/>
      <x:c r="B90" s="12"/>
      <x:c r="C90" s="12"/>
      <x:c r="D90" s="12"/>
      <x:c r="E90" s="12"/>
      <x:c r="F90" s="13"/>
      <x:c r="G90" s="12"/>
      <x:c r="H90" s="5"/>
      <x:c r="I90" s="12"/>
      <x:c r="J90" s="2" t="str">
        <x:f>IF(A90="","",IF(COUNTIF($A$9:$A$108,A90)&gt;1,"ID duplikat",IF(OR(E90="",G90="",H90=""),"Lengkapi input",IF(AND(E90&lt;&gt;"Menang",E90&lt;&gt;"Kalah",H90&lt;=Ringkasan!$B$3),"Tindak lanjut",""))))</x:f>
      </x:c>
    </x:row>
    <x:row r="91" ht="25" customHeight="1">
      <x:c r="A91" s="12"/>
      <x:c r="B91" s="12"/>
      <x:c r="C91" s="12"/>
      <x:c r="D91" s="12"/>
      <x:c r="E91" s="12"/>
      <x:c r="F91" s="13"/>
      <x:c r="G91" s="12"/>
      <x:c r="H91" s="5"/>
      <x:c r="I91" s="12"/>
      <x:c r="J91" s="2" t="str">
        <x:f>IF(A91="","",IF(COUNTIF($A$9:$A$108,A91)&gt;1,"ID duplikat",IF(OR(E91="",G91="",H91=""),"Lengkapi input",IF(AND(E91&lt;&gt;"Menang",E91&lt;&gt;"Kalah",H91&lt;=Ringkasan!$B$3),"Tindak lanjut",""))))</x:f>
      </x:c>
    </x:row>
    <x:row r="92" ht="25" customHeight="1">
      <x:c r="A92" s="12"/>
      <x:c r="B92" s="12"/>
      <x:c r="C92" s="12"/>
      <x:c r="D92" s="12"/>
      <x:c r="E92" s="12"/>
      <x:c r="F92" s="13"/>
      <x:c r="G92" s="12"/>
      <x:c r="H92" s="5"/>
      <x:c r="I92" s="12"/>
      <x:c r="J92" s="2" t="str">
        <x:f>IF(A92="","",IF(COUNTIF($A$9:$A$108,A92)&gt;1,"ID duplikat",IF(OR(E92="",G92="",H92=""),"Lengkapi input",IF(AND(E92&lt;&gt;"Menang",E92&lt;&gt;"Kalah",H92&lt;=Ringkasan!$B$3),"Tindak lanjut",""))))</x:f>
      </x:c>
    </x:row>
    <x:row r="93" ht="25" customHeight="1">
      <x:c r="A93" s="12"/>
      <x:c r="B93" s="12"/>
      <x:c r="C93" s="12"/>
      <x:c r="D93" s="12"/>
      <x:c r="E93" s="12"/>
      <x:c r="F93" s="13"/>
      <x:c r="G93" s="12"/>
      <x:c r="H93" s="5"/>
      <x:c r="I93" s="12"/>
      <x:c r="J93" s="2" t="str">
        <x:f>IF(A93="","",IF(COUNTIF($A$9:$A$108,A93)&gt;1,"ID duplikat",IF(OR(E93="",G93="",H93=""),"Lengkapi input",IF(AND(E93&lt;&gt;"Menang",E93&lt;&gt;"Kalah",H93&lt;=Ringkasan!$B$3),"Tindak lanjut",""))))</x:f>
      </x:c>
    </x:row>
    <x:row r="94" ht="25" customHeight="1">
      <x:c r="A94" s="12"/>
      <x:c r="B94" s="12"/>
      <x:c r="C94" s="12"/>
      <x:c r="D94" s="12"/>
      <x:c r="E94" s="12"/>
      <x:c r="F94" s="13"/>
      <x:c r="G94" s="12"/>
      <x:c r="H94" s="5"/>
      <x:c r="I94" s="12"/>
      <x:c r="J94" s="2" t="str">
        <x:f>IF(A94="","",IF(COUNTIF($A$9:$A$108,A94)&gt;1,"ID duplikat",IF(OR(E94="",G94="",H94=""),"Lengkapi input",IF(AND(E94&lt;&gt;"Menang",E94&lt;&gt;"Kalah",H94&lt;=Ringkasan!$B$3),"Tindak lanjut",""))))</x:f>
      </x:c>
    </x:row>
    <x:row r="95" ht="25" customHeight="1">
      <x:c r="A95" s="12"/>
      <x:c r="B95" s="12"/>
      <x:c r="C95" s="12"/>
      <x:c r="D95" s="12"/>
      <x:c r="E95" s="12"/>
      <x:c r="F95" s="13"/>
      <x:c r="G95" s="12"/>
      <x:c r="H95" s="5"/>
      <x:c r="I95" s="12"/>
      <x:c r="J95" s="2" t="str">
        <x:f>IF(A95="","",IF(COUNTIF($A$9:$A$108,A95)&gt;1,"ID duplikat",IF(OR(E95="",G95="",H95=""),"Lengkapi input",IF(AND(E95&lt;&gt;"Menang",E95&lt;&gt;"Kalah",H95&lt;=Ringkasan!$B$3),"Tindak lanjut",""))))</x:f>
      </x:c>
    </x:row>
    <x:row r="96" ht="25" customHeight="1">
      <x:c r="A96" s="12"/>
      <x:c r="B96" s="12"/>
      <x:c r="C96" s="12"/>
      <x:c r="D96" s="12"/>
      <x:c r="E96" s="12"/>
      <x:c r="F96" s="13"/>
      <x:c r="G96" s="12"/>
      <x:c r="H96" s="5"/>
      <x:c r="I96" s="12"/>
      <x:c r="J96" s="2" t="str">
        <x:f>IF(A96="","",IF(COUNTIF($A$9:$A$108,A96)&gt;1,"ID duplikat",IF(OR(E96="",G96="",H96=""),"Lengkapi input",IF(AND(E96&lt;&gt;"Menang",E96&lt;&gt;"Kalah",H96&lt;=Ringkasan!$B$3),"Tindak lanjut",""))))</x:f>
      </x:c>
    </x:row>
    <x:row r="97" ht="25" customHeight="1">
      <x:c r="A97" s="12"/>
      <x:c r="B97" s="12"/>
      <x:c r="C97" s="12"/>
      <x:c r="D97" s="12"/>
      <x:c r="E97" s="12"/>
      <x:c r="F97" s="13"/>
      <x:c r="G97" s="12"/>
      <x:c r="H97" s="5"/>
      <x:c r="I97" s="12"/>
      <x:c r="J97" s="2" t="str">
        <x:f>IF(A97="","",IF(COUNTIF($A$9:$A$108,A97)&gt;1,"ID duplikat",IF(OR(E97="",G97="",H97=""),"Lengkapi input",IF(AND(E97&lt;&gt;"Menang",E97&lt;&gt;"Kalah",H97&lt;=Ringkasan!$B$3),"Tindak lanjut",""))))</x:f>
      </x:c>
    </x:row>
    <x:row r="98" ht="25" customHeight="1">
      <x:c r="A98" s="12"/>
      <x:c r="B98" s="12"/>
      <x:c r="C98" s="12"/>
      <x:c r="D98" s="12"/>
      <x:c r="E98" s="12"/>
      <x:c r="F98" s="13"/>
      <x:c r="G98" s="12"/>
      <x:c r="H98" s="5"/>
      <x:c r="I98" s="12"/>
      <x:c r="J98" s="2" t="str">
        <x:f>IF(A98="","",IF(COUNTIF($A$9:$A$108,A98)&gt;1,"ID duplikat",IF(OR(E98="",G98="",H98=""),"Lengkapi input",IF(AND(E98&lt;&gt;"Menang",E98&lt;&gt;"Kalah",H98&lt;=Ringkasan!$B$3),"Tindak lanjut",""))))</x:f>
      </x:c>
    </x:row>
    <x:row r="99" ht="25" customHeight="1">
      <x:c r="A99" s="12"/>
      <x:c r="B99" s="12"/>
      <x:c r="C99" s="12"/>
      <x:c r="D99" s="12"/>
      <x:c r="E99" s="12"/>
      <x:c r="F99" s="13"/>
      <x:c r="G99" s="12"/>
      <x:c r="H99" s="5"/>
      <x:c r="I99" s="12"/>
      <x:c r="J99" s="2" t="str">
        <x:f>IF(A99="","",IF(COUNTIF($A$9:$A$108,A99)&gt;1,"ID duplikat",IF(OR(E99="",G99="",H99=""),"Lengkapi input",IF(AND(E99&lt;&gt;"Menang",E99&lt;&gt;"Kalah",H99&lt;=Ringkasan!$B$3),"Tindak lanjut",""))))</x:f>
      </x:c>
    </x:row>
    <x:row r="100" ht="25" customHeight="1">
      <x:c r="A100" s="12"/>
      <x:c r="B100" s="12"/>
      <x:c r="C100" s="12"/>
      <x:c r="D100" s="12"/>
      <x:c r="E100" s="12"/>
      <x:c r="F100" s="13"/>
      <x:c r="G100" s="12"/>
      <x:c r="H100" s="5"/>
      <x:c r="I100" s="12"/>
      <x:c r="J100" s="2" t="str">
        <x:f>IF(A100="","",IF(COUNTIF($A$9:$A$108,A100)&gt;1,"ID duplikat",IF(OR(E100="",G100="",H100=""),"Lengkapi input",IF(AND(E100&lt;&gt;"Menang",E100&lt;&gt;"Kalah",H100&lt;=Ringkasan!$B$3),"Tindak lanjut",""))))</x:f>
      </x:c>
    </x:row>
    <x:row r="101" ht="25" customHeight="1">
      <x:c r="A101" s="12"/>
      <x:c r="B101" s="12"/>
      <x:c r="C101" s="12"/>
      <x:c r="D101" s="12"/>
      <x:c r="E101" s="12"/>
      <x:c r="F101" s="13"/>
      <x:c r="G101" s="12"/>
      <x:c r="H101" s="5"/>
      <x:c r="I101" s="12"/>
      <x:c r="J101" s="2" t="str">
        <x:f>IF(A101="","",IF(COUNTIF($A$9:$A$108,A101)&gt;1,"ID duplikat",IF(OR(E101="",G101="",H101=""),"Lengkapi input",IF(AND(E101&lt;&gt;"Menang",E101&lt;&gt;"Kalah",H101&lt;=Ringkasan!$B$3),"Tindak lanjut",""))))</x:f>
      </x:c>
    </x:row>
    <x:row r="102" ht="25" customHeight="1">
      <x:c r="A102" s="12"/>
      <x:c r="B102" s="12"/>
      <x:c r="C102" s="12"/>
      <x:c r="D102" s="12"/>
      <x:c r="E102" s="12"/>
      <x:c r="F102" s="13"/>
      <x:c r="G102" s="12"/>
      <x:c r="H102" s="5"/>
      <x:c r="I102" s="12"/>
      <x:c r="J102" s="2" t="str">
        <x:f>IF(A102="","",IF(COUNTIF($A$9:$A$108,A102)&gt;1,"ID duplikat",IF(OR(E102="",G102="",H102=""),"Lengkapi input",IF(AND(E102&lt;&gt;"Menang",E102&lt;&gt;"Kalah",H102&lt;=Ringkasan!$B$3),"Tindak lanjut",""))))</x:f>
      </x:c>
    </x:row>
    <x:row r="103" ht="25" customHeight="1">
      <x:c r="A103" s="12"/>
      <x:c r="B103" s="12"/>
      <x:c r="C103" s="12"/>
      <x:c r="D103" s="12"/>
      <x:c r="E103" s="12"/>
      <x:c r="F103" s="13"/>
      <x:c r="G103" s="12"/>
      <x:c r="H103" s="5"/>
      <x:c r="I103" s="12"/>
      <x:c r="J103" s="2" t="str">
        <x:f>IF(A103="","",IF(COUNTIF($A$9:$A$108,A103)&gt;1,"ID duplikat",IF(OR(E103="",G103="",H103=""),"Lengkapi input",IF(AND(E103&lt;&gt;"Menang",E103&lt;&gt;"Kalah",H103&lt;=Ringkasan!$B$3),"Tindak lanjut",""))))</x:f>
      </x:c>
    </x:row>
    <x:row r="104" ht="25" customHeight="1">
      <x:c r="A104" s="12"/>
      <x:c r="B104" s="12"/>
      <x:c r="C104" s="12"/>
      <x:c r="D104" s="12"/>
      <x:c r="E104" s="12"/>
      <x:c r="F104" s="13"/>
      <x:c r="G104" s="12"/>
      <x:c r="H104" s="5"/>
      <x:c r="I104" s="12"/>
      <x:c r="J104" s="2" t="str">
        <x:f>IF(A104="","",IF(COUNTIF($A$9:$A$108,A104)&gt;1,"ID duplikat",IF(OR(E104="",G104="",H104=""),"Lengkapi input",IF(AND(E104&lt;&gt;"Menang",E104&lt;&gt;"Kalah",H104&lt;=Ringkasan!$B$3),"Tindak lanjut",""))))</x:f>
      </x:c>
    </x:row>
    <x:row r="105" ht="25" customHeight="1">
      <x:c r="A105" s="12"/>
      <x:c r="B105" s="12"/>
      <x:c r="C105" s="12"/>
      <x:c r="D105" s="12"/>
      <x:c r="E105" s="12"/>
      <x:c r="F105" s="13"/>
      <x:c r="G105" s="12"/>
      <x:c r="H105" s="5"/>
      <x:c r="I105" s="12"/>
      <x:c r="J105" s="2" t="str">
        <x:f>IF(A105="","",IF(COUNTIF($A$9:$A$108,A105)&gt;1,"ID duplikat",IF(OR(E105="",G105="",H105=""),"Lengkapi input",IF(AND(E105&lt;&gt;"Menang",E105&lt;&gt;"Kalah",H105&lt;=Ringkasan!$B$3),"Tindak lanjut",""))))</x:f>
      </x:c>
    </x:row>
    <x:row r="106" ht="25" customHeight="1">
      <x:c r="A106" s="12"/>
      <x:c r="B106" s="12"/>
      <x:c r="C106" s="12"/>
      <x:c r="D106" s="12"/>
      <x:c r="E106" s="12"/>
      <x:c r="F106" s="13"/>
      <x:c r="G106" s="12"/>
      <x:c r="H106" s="5"/>
      <x:c r="I106" s="12"/>
      <x:c r="J106" s="2" t="str">
        <x:f>IF(A106="","",IF(COUNTIF($A$9:$A$108,A106)&gt;1,"ID duplikat",IF(OR(E106="",G106="",H106=""),"Lengkapi input",IF(AND(E106&lt;&gt;"Menang",E106&lt;&gt;"Kalah",H106&lt;=Ringkasan!$B$3),"Tindak lanjut",""))))</x:f>
      </x:c>
    </x:row>
    <x:row r="107" ht="25" customHeight="1">
      <x:c r="A107" s="12"/>
      <x:c r="B107" s="12"/>
      <x:c r="C107" s="12"/>
      <x:c r="D107" s="12"/>
      <x:c r="E107" s="12"/>
      <x:c r="F107" s="13"/>
      <x:c r="G107" s="12"/>
      <x:c r="H107" s="5"/>
      <x:c r="I107" s="12"/>
      <x:c r="J107" s="2" t="str">
        <x:f>IF(A107="","",IF(COUNTIF($A$9:$A$108,A107)&gt;1,"ID duplikat",IF(OR(E107="",G107="",H107=""),"Lengkapi input",IF(AND(E107&lt;&gt;"Menang",E107&lt;&gt;"Kalah",H107&lt;=Ringkasan!$B$3),"Tindak lanjut",""))))</x:f>
      </x:c>
    </x:row>
    <x:row r="108" ht="25" customHeight="1">
      <x:c r="A108" s="12"/>
      <x:c r="B108" s="12"/>
      <x:c r="C108" s="12"/>
      <x:c r="D108" s="12"/>
      <x:c r="E108" s="12"/>
      <x:c r="F108" s="13"/>
      <x:c r="G108" s="12"/>
      <x:c r="H108" s="5"/>
      <x:c r="I108" s="12"/>
      <x:c r="J108" s="2" t="str">
        <x:f>IF(A108="","",IF(COUNTIF($A$9:$A$108,A108)&gt;1,"ID duplikat",IF(OR(E108="",G108="",H108=""),"Lengkapi input",IF(AND(E108&lt;&gt;"Menang",E108&lt;&gt;"Kalah",H108&lt;=Ringkasan!$B$3),"Tindak lanjut",""))))</x:f>
      </x:c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</x:sheetData>
  <x:conditionalFormatting sqref="J9:J108">
    <x:cfRule type="expression" dxfId="2" priority="1">
      <x:formula>J9&lt;&gt;""</x:formula>
    </x:cfRule>
  </x:conditionalFormatting>
  <x:dataValidations count="1">
    <x:dataValidation type="list" sqref="E9:E108">
      <x:formula1>"Baru,Discovery,Proposal,Menang,Kalah,Ditunda"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518e9dfc5401a"/>
  </x:tableParts>
</x:worksheet>
</file>