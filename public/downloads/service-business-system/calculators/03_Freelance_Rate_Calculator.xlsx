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244b96c97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kulator" sheetId="1" r:id="R909cff5088c04e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p&quot; #,##0"/>
    <x:numFmt numFmtId="201" formatCode="0.0%"/>
    <x:numFmt numFmtId="202" formatCode="0.0"/>
  </x:numFmts>
  <x:fonts count="4">
    <x:font>
      <x:sz val="11"/>
      <x:name val="Carlito"/>
    </x:font>
    <x:font>
      <x:sz val="11"/>
      <x:color rgb="FF252A25"/>
      <x:name val="Arial"/>
    </x:font>
    <x:font>
      <x:b/>
      <x:sz val="16"/>
      <x:color rgb="FF252A2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3CF"/>
      </x:patternFill>
    </x:fill>
    <x:fill>
      <x:patternFill patternType="solid">
        <x:fgColor rgb="FF303B3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A3128"/>
      </x:font>
      <x:fill>
        <x:patternFill patternType="solid">
          <x:bgColor rgb="FFFBE7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09b71b0844a7d" /><Relationship Type="http://schemas.openxmlformats.org/officeDocument/2006/relationships/theme" Target="/xl/theme/theme1.xml" Id="Rfd2751ea9e924b7a" /><Relationship Type="http://schemas.openxmlformats.org/officeDocument/2006/relationships/sharedStrings" Target="/xl/sharedStrings.xml" Id="R2bb4604599774c8d" /><Relationship Type="http://schemas.openxmlformats.org/officeDocument/2006/relationships/worksheet" Target="/xl/worksheets/sheet1.xml" Id="R909cff5088c04e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9634D"/>
  </x:sheetPr>
  <x:sheetViews>
    <x:sheetView showGridLines="0" workbookViewId="0"/>
  </x:sheetViews>
  <x:sheetFormatPr defaultRowHeight="15"/>
  <x:cols>
    <x:col min="1" max="1" width="43" hidden="0" customWidth="1"/>
    <x:col min="2" max="2" width="22" hidden="0" customWidth="1"/>
    <x:col min="3" max="3" width="65" hidden="0" customWidth="1"/>
  </x:cols>
  <x:sheetData>
    <x:row r="1" ht="25" customHeight="1">
      <x:c r="A1" s="2"/>
      <x:c r="B1" s="2"/>
      <x:c r="C1" s="2"/>
    </x:row>
    <x:row r="2" ht="25" customHeight="1">
      <x:c r="A2" s="3" t="str">
        <x:v>Freelance Rate Calculator</x:v>
      </x:c>
      <x:c r="B2" s="2"/>
      <x:c r="C2" s="2"/>
    </x:row>
    <x:row r="3" ht="25" customHeight="1">
      <x:c r="A3" s="2" t="str">
        <x:v>SIMULASI - ubah sel kuning</x:v>
      </x:c>
      <x:c r="B3" s="2"/>
      <x:c r="C3" s="2" t="str">
        <x:v>Rp default; pajak tidak dihitung otomatis.</x:v>
      </x:c>
    </x:row>
    <x:row r="4" ht="25" customHeight="1">
      <x:c r="A4" s="2"/>
      <x:c r="B4" s="2"/>
      <x:c r="C4" s="2"/>
    </x:row>
    <x:row r="5" ht="39" customHeight="1">
      <x:c r="A5" s="2" t="str">
        <x:v>Rate dasar per jam</x:v>
      </x:c>
      <x:c r="B5" s="6" t="n">
        <x:f>IF(B10&lt;&gt;"SIAP","",B28/B29)</x:f>
        <x:v>80000</x:v>
      </x:c>
      <x:c r="C5" s="5" t="str">
        <x:v>Patokan internal; bukan tarif pasar.</x:v>
      </x:c>
    </x:row>
    <x:row r="6" ht="39" customHeight="1">
      <x:c r="A6" s="2" t="str">
        <x:v>Harga proyek sebelum pajak</x:v>
      </x:c>
      <x:c r="B6" s="6" t="n">
        <x:f>IF(B10&lt;&gt;"SIAP","",CEILING(B32/(1-B22),B23))</x:f>
        <x:v>3850000</x:v>
      </x:c>
      <x:c r="C6" s="5" t="str">
        <x:v>Biaya dengan risiko / (1 - margin), dibulatkan ke atas.</x:v>
      </x:c>
    </x:row>
    <x:row r="7" ht="39" customHeight="1">
      <x:c r="A7" s="2" t="str">
        <x:v>DP</x:v>
      </x:c>
      <x:c r="B7" s="6" t="n">
        <x:f>IF(B10&lt;&gt;"SIAP","",ROUND(B6*B24,0))</x:f>
        <x:v>1925000</x:v>
      </x:c>
      <x:c r="C7" s="5"/>
    </x:row>
    <x:row r="8" ht="39" customHeight="1">
      <x:c r="A8" s="2" t="str">
        <x:v>Termin kedua</x:v>
      </x:c>
      <x:c r="B8" s="6" t="n">
        <x:f>IF(B10&lt;&gt;"SIAP","",ROUND(B6*B25,0))</x:f>
        <x:v>1155000</x:v>
      </x:c>
      <x:c r="C8" s="5"/>
    </x:row>
    <x:row r="9" ht="39" customHeight="1">
      <x:c r="A9" s="2" t="str">
        <x:v>Pelunasan akhir</x:v>
      </x:c>
      <x:c r="B9" s="6" t="n">
        <x:f>IF(B10&lt;&gt;"SIAP","",B6-B7-B8)</x:f>
        <x:v>770000</x:v>
      </x:c>
      <x:c r="C9" s="5" t="str">
        <x:v>Sisa porsi = 100% - DP - termin kedua.</x:v>
      </x:c>
    </x:row>
    <x:row r="10" ht="39" customHeight="1">
      <x:c r="A10" s="2" t="str">
        <x:v>Status input</x:v>
      </x:c>
      <x:c r="B10" s="2" t="str">
        <x:f>IF(COUNT(B13:B25)&lt;&gt;13,"ISI INPUT",IF(OR(B13&lt;0,B14&lt;0,B15&lt;0,SUM(B13:B15)&lt;=0,B16&lt;=0,B16&gt;31,B17&lt;=0,B17&gt;24,B18&lt;=0,B18&gt;1,B19&lt;=0,B20&lt;0,B21&lt;0,B22&lt;0,B22&gt;=1,B23&lt;=0,B24&lt;0,B25&lt;0,B24+B25&gt;1),"PERIKSA INPUT","SIAP"))</x:f>
        <x:v>SIAP</x:v>
      </x:c>
      <x:c r="C10" s="5" t="str">
        <x:v>Lengkapi angka; margin di bawah 100%; total termin maksimal 100%.</x:v>
      </x:c>
    </x:row>
    <x:row r="11" ht="39" customHeight="1">
      <x:c r="A11" s="2"/>
      <x:c r="B11" s="2"/>
      <x:c r="C11" s="5"/>
    </x:row>
    <x:row r="12" ht="38" customHeight="1">
      <x:c r="A12" s="11" t="str">
        <x:v>INPUT PERENCANAAN</x:v>
      </x:c>
      <x:c r="B12" s="11"/>
      <x:c r="C12" s="11"/>
    </x:row>
    <x:row r="13" ht="39" customHeight="1">
      <x:c r="A13" s="2" t="str">
        <x:v>Kompensasi pemilik per bulan</x:v>
      </x:c>
      <x:c r="B13" s="13" t="n">
        <x:v>6000000</x:v>
      </x:c>
      <x:c r="C13" s="5" t="str">
        <x:v>Simulasi kebutuhan pemilik, bukan janji penghasilan.</x:v>
      </x:c>
    </x:row>
    <x:row r="14" ht="39" customHeight="1">
      <x:c r="A14" s="2" t="str">
        <x:v>Operasional tetap per bulan</x:v>
      </x:c>
      <x:c r="B14" s="13" t="n">
        <x:v>1000000</x:v>
      </x:c>
      <x:c r="C14" s="5" t="str">
        <x:v>Biaya tetap sudah masuk rate; jangan dihitung lagi sebagai biaya langsung.</x:v>
      </x:c>
    </x:row>
    <x:row r="15" ht="39" customHeight="1">
      <x:c r="A15" s="2" t="str">
        <x:v>Cadangan bulanan</x:v>
      </x:c>
      <x:c r="B15" s="13" t="n">
        <x:v>1000000</x:v>
      </x:c>
      <x:c r="C15" s="5" t="str">
        <x:v>Cadangan usaha; pisahkan dari ketidakpastian proyek.</x:v>
      </x:c>
    </x:row>
    <x:row r="16" ht="39" customHeight="1">
      <x:c r="A16" s="2" t="str">
        <x:v>Hari kerja per bulan</x:v>
      </x:c>
      <x:c r="B16" s="4" t="n">
        <x:v>20</x:v>
      </x:c>
      <x:c r="C16" s="5" t="str">
        <x:v>Harus lebih dari 0 dan maksimal 31.</x:v>
      </x:c>
    </x:row>
    <x:row r="17" ht="39" customHeight="1">
      <x:c r="A17" s="2" t="str">
        <x:v>Jam kerja per hari</x:v>
      </x:c>
      <x:c r="B17" s="4" t="n">
        <x:v>8</x:v>
      </x:c>
      <x:c r="C17" s="5" t="str">
        <x:v>Harus lebih dari 0 dan maksimal 24.</x:v>
      </x:c>
    </x:row>
    <x:row r="18" ht="39" customHeight="1">
      <x:c r="A18" s="2" t="str">
        <x:v>Porsi jam tertagih</x:v>
      </x:c>
      <x:c r="B18" s="12" t="n">
        <x:v>0.625</x:v>
      </x:c>
      <x:c r="C18" s="5" t="str">
        <x:v>Lebih dari 0 dan maksimal 100%; sisanya untuk administrasi dan pemasaran.</x:v>
      </x:c>
    </x:row>
    <x:row r="19" ht="39" customHeight="1">
      <x:c r="A19" s="2" t="str">
        <x:v>Estimasi jam proyek</x:v>
      </x:c>
      <x:c r="B19" s="4" t="n">
        <x:v>30</x:v>
      </x:c>
      <x:c r="C19" s="5" t="str">
        <x:v>Termasuk briefing, pengerjaan, revisi, pengujian, handover.</x:v>
      </x:c>
    </x:row>
    <x:row r="20" ht="39" customHeight="1">
      <x:c r="A20" s="2" t="str">
        <x:v>Biaya langsung proyek</x:v>
      </x:c>
      <x:c r="B20" s="13" t="n">
        <x:v>400000</x:v>
      </x:c>
      <x:c r="C20" s="5" t="str">
        <x:v>Aset atau vendor khusus yang belum ada di biaya tetap.</x:v>
      </x:c>
    </x:row>
    <x:row r="21" ht="39" customHeight="1">
      <x:c r="A21" s="2" t="str">
        <x:v>Cadangan risiko proyek</x:v>
      </x:c>
      <x:c r="B21" s="12" t="n">
        <x:v>0.1</x:v>
      </x:c>
      <x:c r="C21" s="5" t="str">
        <x:v>0% atau lebih; sesuaikan ketidakpastian estimasi.</x:v>
      </x:c>
    </x:row>
    <x:row r="22" ht="39" customHeight="1">
      <x:c r="A22" s="2" t="str">
        <x:v>Target margin</x:v>
      </x:c>
      <x:c r="B22" s="12" t="n">
        <x:v>0.2</x:v>
      </x:c>
      <x:c r="C22" s="5" t="str">
        <x:v>Margin berbeda dari markup; minimal 0%, harus di bawah 100%.</x:v>
      </x:c>
    </x:row>
    <x:row r="23" ht="39" customHeight="1">
      <x:c r="A23" s="2" t="str">
        <x:v>Pembulatan harga ke atas</x:v>
      </x:c>
      <x:c r="B23" s="13" t="n">
        <x:v>10000</x:v>
      </x:c>
      <x:c r="C23" s="5" t="str">
        <x:v>Rp10.000 berarti dibulatkan ke kelipatan Rp10.000.</x:v>
      </x:c>
    </x:row>
    <x:row r="24" ht="39" customHeight="1">
      <x:c r="A24" s="2" t="str">
        <x:v>Porsi DP</x:v>
      </x:c>
      <x:c r="B24" s="12" t="n">
        <x:v>0.5</x:v>
      </x:c>
      <x:c r="C24" s="5" t="str">
        <x:v>Minimal 0%; DP + termin kedua maksimal 100%.</x:v>
      </x:c>
    </x:row>
    <x:row r="25" ht="39" customHeight="1">
      <x:c r="A25" s="2" t="str">
        <x:v>Porsi termin kedua</x:v>
      </x:c>
      <x:c r="B25" s="12" t="n">
        <x:v>0.3</x:v>
      </x:c>
      <x:c r="C25" s="5" t="str">
        <x:v>Sisa otomatis menjadi termin pelunasan.</x:v>
      </x:c>
    </x:row>
    <x:row r="26" ht="39" customHeight="1">
      <x:c r="A26" s="2"/>
      <x:c r="B26" s="2"/>
      <x:c r="C26" s="5"/>
    </x:row>
    <x:row r="27" ht="38" customHeight="1">
      <x:c r="A27" s="11" t="str">
        <x:v>PERHITUNGAN</x:v>
      </x:c>
      <x:c r="B27" s="11"/>
      <x:c r="C27" s="11"/>
    </x:row>
    <x:row r="28" ht="39" customHeight="1">
      <x:c r="A28" s="2" t="str">
        <x:v>Kebutuhan bulanan</x:v>
      </x:c>
      <x:c r="B28" s="6" t="n">
        <x:f>IF(B10&lt;&gt;"SIAP","",SUM(B13:B15))</x:f>
        <x:v>8000000</x:v>
      </x:c>
      <x:c r="C28" s="5" t="str">
        <x:v>Kompensasi + operasional tetap + cadangan bulanan.</x:v>
      </x:c>
    </x:row>
    <x:row r="29" ht="39" customHeight="1">
      <x:c r="A29" s="2" t="str">
        <x:v>Kapasitas jam tertagih</x:v>
      </x:c>
      <x:c r="B29" s="14" t="n">
        <x:f>IF(B10&lt;&gt;"SIAP","",B16*B17*B18)</x:f>
        <x:v>100</x:v>
      </x:c>
      <x:c r="C29" s="5" t="str">
        <x:v>Hari kerja x jam per hari x porsi tertagih.</x:v>
      </x:c>
    </x:row>
    <x:row r="30" ht="39" customHeight="1">
      <x:c r="A30" s="2" t="str">
        <x:v>Biaya dasar proyek</x:v>
      </x:c>
      <x:c r="B30" s="6" t="n">
        <x:f>IF(B10&lt;&gt;"SIAP","",B19*B5+B20)</x:f>
        <x:v>2800000</x:v>
      </x:c>
      <x:c r="C30" s="5" t="str">
        <x:v>Jam proyek x rate dasar + biaya langsung.</x:v>
      </x:c>
    </x:row>
    <x:row r="31" ht="39" customHeight="1">
      <x:c r="A31" s="2" t="str">
        <x:v>Cadangan risiko proyek</x:v>
      </x:c>
      <x:c r="B31" s="6" t="n">
        <x:f>IF(B10&lt;&gt;"SIAP","",B30*B21)</x:f>
        <x:v>280000</x:v>
      </x:c>
      <x:c r="C31" s="5" t="str">
        <x:v>Biaya dasar x persentase risiko.</x:v>
      </x:c>
    </x:row>
    <x:row r="32" ht="39" customHeight="1">
      <x:c r="A32" s="2" t="str">
        <x:v>Biaya termasuk risiko</x:v>
      </x:c>
      <x:c r="B32" s="6" t="n">
        <x:f>IF(B10&lt;&gt;"SIAP","",B30+B31)</x:f>
        <x:v>3080000</x:v>
      </x:c>
      <x:c r="C32" s="5" t="str">
        <x:v>Biaya dasar + cadangan risiko.</x:v>
      </x:c>
    </x:row>
    <x:row r="33" ht="39" customHeight="1">
      <x:c r="A33" s="2" t="str">
        <x:v>Selisih setelah biaya dan risiko</x:v>
      </x:c>
      <x:c r="B33" s="6" t="n">
        <x:f>IF(B10&lt;&gt;"SIAP","",B6-B32)</x:f>
        <x:v>770000</x:v>
      </x:c>
      <x:c r="C33" s="5" t="str">
        <x:v>Harga - biaya termasuk risiko; belum laba bersih setelah pajak.</x:v>
      </x:c>
    </x:row>
    <x:row r="34" ht="39" customHeight="1">
      <x:c r="A34" s="2" t="str">
        <x:v>Margin sesudah pembulatan</x:v>
      </x:c>
      <x:c r="B34" s="15" t="n">
        <x:f>IF(B10&lt;&gt;"SIAP","",B33/B6)</x:f>
        <x:v>0.2</x:v>
      </x:c>
      <x:c r="C34" s="5" t="str">
        <x:v>Selisih / harga. Pembulatan dapat menaikkan margin.</x:v>
      </x:c>
    </x:row>
    <x:row r="35" ht="25" customHeight="1">
      <x:c r="A35" s="2"/>
      <x:c r="B35" s="2"/>
      <x:c r="C35" s="2"/>
    </x:row>
    <x:row r="36" ht="25" customHeight="1">
      <x:c r="A36" s="2"/>
      <x:c r="B36" s="2"/>
      <x:c r="C36" s="2"/>
    </x:row>
    <x:row r="37" ht="25" customHeight="1">
      <x:c r="A37" s="2"/>
      <x:c r="B37" s="2"/>
      <x:c r="C37" s="2"/>
    </x:row>
    <x:row r="38" ht="25" customHeight="1">
      <x:c r="A38" s="2"/>
      <x:c r="B38" s="2"/>
      <x:c r="C38" s="2"/>
    </x:row>
    <x:row r="39" ht="25" customHeight="1">
      <x:c r="A39" s="2"/>
      <x:c r="B39" s="2"/>
      <x:c r="C39" s="2"/>
    </x:row>
    <x:row r="40" ht="25" customHeight="1">
      <x:c r="A40" s="2"/>
      <x:c r="B40" s="2"/>
      <x:c r="C40" s="2"/>
    </x:row>
    <x:row r="41" ht="25" customHeight="1">
      <x:c r="A41" s="2"/>
      <x:c r="B41" s="2"/>
      <x:c r="C41" s="2"/>
    </x:row>
    <x:row r="42" ht="25" customHeight="1">
      <x:c r="A42" s="2"/>
      <x:c r="B42" s="2"/>
      <x:c r="C42" s="2"/>
    </x:row>
    <x:row r="43" ht="25" customHeight="1">
      <x:c r="A43" s="2"/>
      <x:c r="B43" s="2"/>
      <x:c r="C43" s="2"/>
    </x:row>
    <x:row r="44" ht="25" customHeight="1">
      <x:c r="A44" s="2"/>
      <x:c r="B44" s="2"/>
      <x:c r="C44" s="2"/>
    </x:row>
    <x:row r="45" ht="25" customHeight="1">
      <x:c r="A45" s="2"/>
      <x:c r="B45" s="2"/>
      <x:c r="C45" s="2"/>
    </x:row>
    <x:row r="46" ht="25" customHeight="1">
      <x:c r="A46" s="2"/>
      <x:c r="B46" s="2"/>
      <x:c r="C46" s="2"/>
    </x:row>
    <x:row r="47" ht="25" customHeight="1">
      <x:c r="A47" s="2"/>
      <x:c r="B47" s="2"/>
      <x:c r="C47" s="2"/>
    </x:row>
    <x:row r="48" ht="25" customHeight="1">
      <x:c r="A48" s="2"/>
      <x:c r="B48" s="2"/>
      <x:c r="C48" s="2"/>
    </x:row>
    <x:row r="49" ht="25" customHeight="1">
      <x:c r="A49" s="2"/>
      <x:c r="B49" s="2"/>
      <x:c r="C49" s="2"/>
    </x:row>
    <x:row r="50" ht="25" customHeight="1">
      <x:c r="A50" s="2"/>
      <x:c r="B50" s="2"/>
      <x:c r="C50" s="2"/>
    </x:row>
    <x:row r="51" ht="25" customHeight="1">
      <x:c r="A51" s="2"/>
      <x:c r="B51" s="2"/>
      <x:c r="C51" s="2"/>
    </x:row>
    <x:row r="52" ht="25" customHeight="1">
      <x:c r="A52" s="2"/>
      <x:c r="B52" s="2"/>
      <x:c r="C52" s="2"/>
    </x:row>
    <x:row r="53" ht="25" customHeight="1">
      <x:c r="A53" s="2"/>
      <x:c r="B53" s="2"/>
      <x:c r="C53" s="2"/>
    </x:row>
    <x:row r="54" ht="25" customHeight="1">
      <x:c r="A54" s="2"/>
      <x:c r="B54" s="2"/>
      <x:c r="C54" s="2"/>
    </x:row>
    <x:row r="55" ht="25" customHeight="1">
      <x:c r="A55" s="2"/>
      <x:c r="B55" s="2"/>
      <x:c r="C55" s="2"/>
    </x:row>
    <x:row r="56" ht="25" customHeight="1">
      <x:c r="A56" s="2"/>
      <x:c r="B56" s="2"/>
      <x:c r="C56" s="2"/>
    </x:row>
    <x:row r="57" ht="25" customHeight="1">
      <x:c r="A57" s="2"/>
      <x:c r="B57" s="2"/>
      <x:c r="C57" s="2"/>
    </x:row>
    <x:row r="58" ht="25" customHeight="1">
      <x:c r="A58" s="2"/>
      <x:c r="B58" s="2"/>
      <x:c r="C58" s="2"/>
    </x:row>
    <x:row r="59" ht="25" customHeight="1">
      <x:c r="A59" s="2"/>
      <x:c r="B59" s="2"/>
      <x:c r="C59" s="2"/>
    </x:row>
    <x:row r="60" ht="25" customHeight="1">
      <x:c r="A60" s="2"/>
      <x:c r="B60" s="2"/>
      <x:c r="C60" s="2"/>
    </x:row>
    <x:row r="61" ht="25" customHeight="1">
      <x:c r="A61" s="2"/>
      <x:c r="B61" s="2"/>
      <x:c r="C61" s="2"/>
    </x:row>
    <x:row r="62" ht="25" customHeight="1">
      <x:c r="A62" s="2"/>
      <x:c r="B62" s="2"/>
      <x:c r="C62" s="2"/>
    </x:row>
    <x:row r="63" ht="25" customHeight="1">
      <x:c r="A63" s="2"/>
      <x:c r="B63" s="2"/>
      <x:c r="C63" s="2"/>
    </x:row>
    <x:row r="64" ht="25" customHeight="1">
      <x:c r="A64" s="2"/>
      <x:c r="B64" s="2"/>
      <x:c r="C64" s="2"/>
    </x:row>
    <x:row r="65" ht="25" customHeight="1">
      <x:c r="A65" s="2"/>
      <x:c r="B65" s="2"/>
      <x:c r="C65" s="2"/>
    </x:row>
    <x:row r="66" ht="25" customHeight="1">
      <x:c r="A66" s="2"/>
      <x:c r="B66" s="2"/>
      <x:c r="C66" s="2"/>
    </x:row>
    <x:row r="67" ht="25" customHeight="1">
      <x:c r="A67" s="2"/>
      <x:c r="B67" s="2"/>
      <x:c r="C67" s="2"/>
    </x:row>
    <x:row r="68" ht="25" customHeight="1">
      <x:c r="A68" s="2"/>
      <x:c r="B68" s="2"/>
      <x:c r="C68" s="2"/>
    </x:row>
    <x:row r="69" ht="25" customHeight="1">
      <x:c r="A69" s="2"/>
      <x:c r="B69" s="2"/>
      <x:c r="C69" s="2"/>
    </x:row>
    <x:row r="70" ht="25" customHeight="1">
      <x:c r="A70" s="2"/>
      <x:c r="B70" s="2"/>
      <x:c r="C70" s="2"/>
    </x:row>
    <x:row r="71" ht="25" customHeight="1">
      <x:c r="A71" s="2"/>
      <x:c r="B71" s="2"/>
      <x:c r="C71" s="2"/>
    </x:row>
    <x:row r="72" ht="25" customHeight="1">
      <x:c r="A72" s="2"/>
      <x:c r="B72" s="2"/>
      <x:c r="C72" s="2"/>
    </x:row>
    <x:row r="73" ht="25" customHeight="1">
      <x:c r="A73" s="2"/>
      <x:c r="B73" s="2"/>
      <x:c r="C73" s="2"/>
    </x:row>
    <x:row r="74" ht="25" customHeight="1">
      <x:c r="A74" s="2"/>
      <x:c r="B74" s="2"/>
      <x:c r="C74" s="2"/>
    </x:row>
    <x:row r="75" ht="25" customHeight="1">
      <x:c r="A75" s="2"/>
      <x:c r="B75" s="2"/>
      <x:c r="C75" s="2"/>
    </x:row>
    <x:row r="76" ht="25" customHeight="1">
      <x:c r="A76" s="2"/>
      <x:c r="B76" s="2"/>
      <x:c r="C76" s="2"/>
    </x:row>
    <x:row r="77" ht="25" customHeight="1">
      <x:c r="A77" s="2"/>
      <x:c r="B77" s="2"/>
      <x:c r="C77" s="2"/>
    </x:row>
    <x:row r="78" ht="25" customHeight="1">
      <x:c r="A78" s="2"/>
      <x:c r="B78" s="2"/>
      <x:c r="C78" s="2"/>
    </x:row>
    <x:row r="79" ht="25" customHeight="1">
      <x:c r="A79" s="2"/>
      <x:c r="B79" s="2"/>
      <x:c r="C79" s="2"/>
    </x:row>
    <x:row r="80" ht="25" customHeight="1">
      <x:c r="A80" s="2"/>
      <x:c r="B80" s="2"/>
      <x:c r="C80" s="2"/>
    </x:row>
    <x:row r="81" ht="25" customHeight="1">
      <x:c r="A81" s="2"/>
      <x:c r="B81" s="2"/>
      <x:c r="C81" s="2"/>
    </x:row>
    <x:row r="82" ht="25" customHeight="1">
      <x:c r="A82" s="2"/>
      <x:c r="B82" s="2"/>
      <x:c r="C82" s="2"/>
    </x:row>
    <x:row r="83" ht="25" customHeight="1">
      <x:c r="A83" s="2"/>
      <x:c r="B83" s="2"/>
      <x:c r="C83" s="2"/>
    </x:row>
    <x:row r="84" ht="25" customHeight="1">
      <x:c r="A84" s="2"/>
      <x:c r="B84" s="2"/>
      <x:c r="C84" s="2"/>
    </x:row>
    <x:row r="85" ht="25" customHeight="1">
      <x:c r="A85" s="2"/>
      <x:c r="B85" s="2"/>
      <x:c r="C85" s="2"/>
    </x:row>
    <x:row r="86" ht="25" customHeight="1">
      <x:c r="A86" s="2"/>
      <x:c r="B86" s="2"/>
      <x:c r="C86" s="2"/>
    </x:row>
    <x:row r="87" ht="25" customHeight="1">
      <x:c r="A87" s="2"/>
      <x:c r="B87" s="2"/>
      <x:c r="C87" s="2"/>
    </x:row>
    <x:row r="88" ht="25" customHeight="1">
      <x:c r="A88" s="2"/>
      <x:c r="B88" s="2"/>
      <x:c r="C88" s="2"/>
    </x:row>
    <x:row r="89" ht="25" customHeight="1">
      <x:c r="A89" s="2"/>
      <x:c r="B89" s="2"/>
      <x:c r="C89" s="2"/>
    </x:row>
    <x:row r="90" ht="25" customHeight="1">
      <x:c r="A90" s="2"/>
      <x:c r="B90" s="2"/>
      <x:c r="C90" s="2"/>
    </x:row>
    <x:row r="91" ht="25" customHeight="1">
      <x:c r="A91" s="2"/>
      <x:c r="B91" s="2"/>
      <x:c r="C91" s="2"/>
    </x:row>
    <x:row r="92" ht="25" customHeight="1">
      <x:c r="A92" s="2"/>
      <x:c r="B92" s="2"/>
      <x:c r="C92" s="2"/>
    </x:row>
    <x:row r="93" ht="25" customHeight="1">
      <x:c r="A93" s="2"/>
      <x:c r="B93" s="2"/>
      <x:c r="C93" s="2"/>
    </x:row>
    <x:row r="94" ht="25" customHeight="1">
      <x:c r="A94" s="2"/>
      <x:c r="B94" s="2"/>
      <x:c r="C94" s="2"/>
    </x:row>
    <x:row r="95" ht="25" customHeight="1">
      <x:c r="A95" s="2"/>
      <x:c r="B95" s="2"/>
      <x:c r="C95" s="2"/>
    </x:row>
    <x:row r="96" ht="25" customHeight="1">
      <x:c r="A96" s="2"/>
      <x:c r="B96" s="2"/>
      <x:c r="C96" s="2"/>
    </x:row>
    <x:row r="97" ht="25" customHeight="1">
      <x:c r="A97" s="2"/>
      <x:c r="B97" s="2"/>
      <x:c r="C97" s="2"/>
    </x:row>
    <x:row r="98" ht="25" customHeight="1">
      <x:c r="A98" s="2"/>
      <x:c r="B98" s="2"/>
      <x:c r="C98" s="2"/>
    </x:row>
    <x:row r="99" ht="25" customHeight="1">
      <x:c r="A99" s="2"/>
      <x:c r="B99" s="2"/>
      <x:c r="C99" s="2"/>
    </x:row>
    <x:row r="100" ht="25" customHeight="1">
      <x:c r="A100" s="2"/>
      <x:c r="B100" s="2"/>
      <x:c r="C100" s="2"/>
    </x:row>
    <x:row r="101" ht="25" customHeight="1">
      <x:c r="A101" s="2"/>
      <x:c r="B101" s="2"/>
      <x:c r="C101" s="2"/>
    </x:row>
    <x:row r="102" ht="25" customHeight="1">
      <x:c r="A102" s="2"/>
      <x:c r="B102" s="2"/>
      <x:c r="C102" s="2"/>
    </x:row>
    <x:row r="103" ht="25" customHeight="1">
      <x:c r="A103" s="2"/>
      <x:c r="B103" s="2"/>
      <x:c r="C103" s="2"/>
    </x:row>
    <x:row r="104" ht="25" customHeight="1">
      <x:c r="A104" s="2"/>
      <x:c r="B104" s="2"/>
      <x:c r="C104" s="2"/>
    </x:row>
    <x:row r="105" ht="25" customHeight="1">
      <x:c r="A105" s="2"/>
      <x:c r="B105" s="2"/>
      <x:c r="C105" s="2"/>
    </x:row>
    <x:row r="106" ht="25" customHeight="1">
      <x:c r="A106" s="2"/>
      <x:c r="B106" s="2"/>
      <x:c r="C106" s="2"/>
    </x:row>
    <x:row r="107" ht="25" customHeight="1">
      <x:c r="A107" s="2"/>
      <x:c r="B107" s="2"/>
      <x:c r="C107" s="2"/>
    </x:row>
    <x:row r="108" ht="25" customHeight="1">
      <x:c r="A108" s="2"/>
      <x:c r="B108" s="2"/>
      <x:c r="C108" s="2"/>
    </x:row>
    <x:row r="109" ht="25" customHeight="1">
      <x:c r="A109" s="2"/>
      <x:c r="B109" s="2"/>
      <x:c r="C109" s="2"/>
    </x:row>
    <x:row r="110" ht="25" customHeight="1">
      <x:c r="A110" s="2"/>
      <x:c r="B110" s="2"/>
      <x:c r="C110" s="2"/>
    </x:row>
    <x:row r="111" ht="25" customHeight="1">
      <x:c r="A111" s="2"/>
      <x:c r="B111" s="2"/>
      <x:c r="C111" s="2"/>
    </x:row>
    <x:row r="112" ht="25" customHeight="1">
      <x:c r="A112" s="2"/>
      <x:c r="B112" s="2"/>
      <x:c r="C112" s="2"/>
    </x:row>
  </x:sheetData>
  <x:conditionalFormatting sqref="B10:B10">
    <x:cfRule type="expression" dxfId="0" priority="1">
      <x:formula>B10&lt;&gt;"SIAP"</x:formula>
    </x:cfRule>
  </x:conditionalFormatting>
  <x:pageMargins left="0.7" right="0.7" top="0.75" bottom="0.75" header="0.3" footer="0.3"/>
</x:worksheet>
</file>